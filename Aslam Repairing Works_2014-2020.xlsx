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kra\Downloads\"/>
    </mc:Choice>
  </mc:AlternateContent>
  <xr:revisionPtr revIDLastSave="0" documentId="13_ncr:1_{22F4C4E7-7E56-4AFB-BEDB-C2BF999C3C40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📊 DASHBOARD" sheetId="1" r:id="rId1"/>
    <sheet name="Raw Data" sheetId="2" r:id="rId2"/>
    <sheet name="Monthly Summary" sheetId="3" r:id="rId3"/>
    <sheet name="Vehicle &amp; Repair Analysis" sheetId="4" r:id="rId4"/>
    <sheet name="Payment &amp; Collection" sheetId="5" r:id="rId5"/>
  </sheets>
  <definedNames>
    <definedName name="_xlnm._FilterDatabase" localSheetId="1" hidden="1">'Raw Data'!$A$1:$L$1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7" i="3" l="1"/>
  <c r="F87" i="3"/>
  <c r="E87" i="3"/>
  <c r="D87" i="3"/>
  <c r="H87" i="3" s="1"/>
  <c r="C87" i="3"/>
  <c r="B87" i="3"/>
</calcChain>
</file>

<file path=xl/sharedStrings.xml><?xml version="1.0" encoding="utf-8"?>
<sst xmlns="http://schemas.openxmlformats.org/spreadsheetml/2006/main" count="2030" uniqueCount="471">
  <si>
    <t>🔧  ASLAM REPAIRING WORKS – BUSINESS PERFORMANCE DASHBOARD</t>
  </si>
  <si>
    <t>Period: January 2014 – December 2020  |  Data Analyst: [Your Name]</t>
  </si>
  <si>
    <t>KEY PERFORMANCE INDICATORS</t>
  </si>
  <si>
    <t>Total Jobs</t>
  </si>
  <si>
    <t>Total Revenue Billed</t>
  </si>
  <si>
    <t>Revenue Collected</t>
  </si>
  <si>
    <t>Pending Dues</t>
  </si>
  <si>
    <t>Avg Bill/Job</t>
  </si>
  <si>
    <t>Collection Rate</t>
  </si>
  <si>
    <t>KEY BUSINESS INSIGHTS</t>
  </si>
  <si>
    <t>📅  Best performing month: Dec-18 with ₹128,913 billed</t>
  </si>
  <si>
    <t>🚛  Highest revenue vehicle type: Truck (21.5% of total revenue)</t>
  </si>
  <si>
    <t>🔧  Most profitable repair type: Electrical Fix generating ₹693,395</t>
  </si>
  <si>
    <t>💰  Overall collection rate: 79.2% — Target: 90%+</t>
  </si>
  <si>
    <t>⚠️   Pending dues: ₹783,345 — immediate follow-up recommended</t>
  </si>
  <si>
    <t>NAVIGATE TO SHEETS ▼</t>
  </si>
  <si>
    <t>→ Raw Data</t>
  </si>
  <si>
    <t>→ Monthly Summary</t>
  </si>
  <si>
    <t>→ Vehicle &amp; Repair Analysis</t>
  </si>
  <si>
    <t>→ Payment &amp; Collection</t>
  </si>
  <si>
    <t>Job ID</t>
  </si>
  <si>
    <t>Date</t>
  </si>
  <si>
    <t>Vehicle Type</t>
  </si>
  <si>
    <t>Repair Type</t>
  </si>
  <si>
    <t>Parts Used</t>
  </si>
  <si>
    <t>Labour Charge (₹)</t>
  </si>
  <si>
    <t>Parts Cost (₹)</t>
  </si>
  <si>
    <t>Total Bill (₹)</t>
  </si>
  <si>
    <t>Amount Received (₹)</t>
  </si>
  <si>
    <t>Payment Method</t>
  </si>
  <si>
    <t>Payment Status</t>
  </si>
  <si>
    <t>Days to Pay</t>
  </si>
  <si>
    <t>JOB1074</t>
  </si>
  <si>
    <t>Tanker</t>
  </si>
  <si>
    <t>Tyre Change</t>
  </si>
  <si>
    <t>Coolant, Gasket</t>
  </si>
  <si>
    <t>UPI</t>
  </si>
  <si>
    <t>Pending</t>
  </si>
  <si>
    <t>JOB1181</t>
  </si>
  <si>
    <t>Tipper</t>
  </si>
  <si>
    <t>Electrical Fix</t>
  </si>
  <si>
    <t>Battery</t>
  </si>
  <si>
    <t>Received</t>
  </si>
  <si>
    <t>JOB1140</t>
  </si>
  <si>
    <t>Container</t>
  </si>
  <si>
    <t>Oil Service</t>
  </si>
  <si>
    <t>Clutch Plate</t>
  </si>
  <si>
    <t>Credit</t>
  </si>
  <si>
    <t>JOB1281</t>
  </si>
  <si>
    <t>Body Work</t>
  </si>
  <si>
    <t>Wiper, Bulb</t>
  </si>
  <si>
    <t>JOB1099</t>
  </si>
  <si>
    <t>Brake Pad, Filter</t>
  </si>
  <si>
    <t>JOB1031</t>
  </si>
  <si>
    <t>Truck</t>
  </si>
  <si>
    <t>JOB1081</t>
  </si>
  <si>
    <t>Brake Repair</t>
  </si>
  <si>
    <t>JOB1052</t>
  </si>
  <si>
    <t>Bus</t>
  </si>
  <si>
    <t>AC Repair</t>
  </si>
  <si>
    <t>Tyre x2</t>
  </si>
  <si>
    <t>Cheque</t>
  </si>
  <si>
    <t>JOB1003</t>
  </si>
  <si>
    <t>JOB1077</t>
  </si>
  <si>
    <t>Cash</t>
  </si>
  <si>
    <t>JOB1162</t>
  </si>
  <si>
    <t>JOB1224</t>
  </si>
  <si>
    <t>JOB1115</t>
  </si>
  <si>
    <t>Engine Overhaul</t>
  </si>
  <si>
    <t>JOB1127</t>
  </si>
  <si>
    <t>JOB1112</t>
  </si>
  <si>
    <t>Engine Oil, Belt</t>
  </si>
  <si>
    <t>JOB1193</t>
  </si>
  <si>
    <t>JOB1247</t>
  </si>
  <si>
    <t>JOB1056</t>
  </si>
  <si>
    <t>JOB1258</t>
  </si>
  <si>
    <t>JOB1098</t>
  </si>
  <si>
    <t>JOB1177</t>
  </si>
  <si>
    <t>JOB1035</t>
  </si>
  <si>
    <t>JOB1276</t>
  </si>
  <si>
    <t>JOB1044</t>
  </si>
  <si>
    <t>JOB1101</t>
  </si>
  <si>
    <t>JOB1191</t>
  </si>
  <si>
    <t>JOB1230</t>
  </si>
  <si>
    <t>JOB1295</t>
  </si>
  <si>
    <t>JOB1279</t>
  </si>
  <si>
    <t>JOB1297</t>
  </si>
  <si>
    <t>JOB1238</t>
  </si>
  <si>
    <t>JOB1131</t>
  </si>
  <si>
    <t>JOB1025</t>
  </si>
  <si>
    <t>JOB1242</t>
  </si>
  <si>
    <t>JOB1105</t>
  </si>
  <si>
    <t>JOB1046</t>
  </si>
  <si>
    <t>JOB1183</t>
  </si>
  <si>
    <t>JOB1021</t>
  </si>
  <si>
    <t>JOB1245</t>
  </si>
  <si>
    <t>JOB1274</t>
  </si>
  <si>
    <t>JOB1110</t>
  </si>
  <si>
    <t>JOB1071</t>
  </si>
  <si>
    <t>JOB1002</t>
  </si>
  <si>
    <t>JOB1111</t>
  </si>
  <si>
    <t>JOB1260</t>
  </si>
  <si>
    <t>JOB1132</t>
  </si>
  <si>
    <t>JOB1152</t>
  </si>
  <si>
    <t>JOB1104</t>
  </si>
  <si>
    <t>JOB1228</t>
  </si>
  <si>
    <t>JOB1042</t>
  </si>
  <si>
    <t>JOB1114</t>
  </si>
  <si>
    <t>JOB1257</t>
  </si>
  <si>
    <t>JOB1083</t>
  </si>
  <si>
    <t>JOB1171</t>
  </si>
  <si>
    <t>JOB1161</t>
  </si>
  <si>
    <t>JOB1015</t>
  </si>
  <si>
    <t>JOB1267</t>
  </si>
  <si>
    <t>JOB1001</t>
  </si>
  <si>
    <t>JOB1283</t>
  </si>
  <si>
    <t>JOB1120</t>
  </si>
  <si>
    <t>JOB1165</t>
  </si>
  <si>
    <t>JOB1184</t>
  </si>
  <si>
    <t>JOB1235</t>
  </si>
  <si>
    <t>JOB1252</t>
  </si>
  <si>
    <t>JOB1147</t>
  </si>
  <si>
    <t>JOB1109</t>
  </si>
  <si>
    <t>JOB1225</t>
  </si>
  <si>
    <t>JOB1047</t>
  </si>
  <si>
    <t>JOB1045</t>
  </si>
  <si>
    <t>JOB1299</t>
  </si>
  <si>
    <t>JOB1067</t>
  </si>
  <si>
    <t>JOB1290</t>
  </si>
  <si>
    <t>JOB1222</t>
  </si>
  <si>
    <t>JOB1298</t>
  </si>
  <si>
    <t>JOB1151</t>
  </si>
  <si>
    <t>JOB1150</t>
  </si>
  <si>
    <t>JOB1108</t>
  </si>
  <si>
    <t>JOB1231</t>
  </si>
  <si>
    <t>JOB1174</t>
  </si>
  <si>
    <t>JOB1065</t>
  </si>
  <si>
    <t>JOB1214</t>
  </si>
  <si>
    <t>JOB1198</t>
  </si>
  <si>
    <t>JOB1194</t>
  </si>
  <si>
    <t>JOB1244</t>
  </si>
  <si>
    <t>JOB1254</t>
  </si>
  <si>
    <t>JOB1209</t>
  </si>
  <si>
    <t>JOB1049</t>
  </si>
  <si>
    <t>JOB1076</t>
  </si>
  <si>
    <t>JOB1204</t>
  </si>
  <si>
    <t>JOB1010</t>
  </si>
  <si>
    <t>JOB1195</t>
  </si>
  <si>
    <t>JOB1066</t>
  </si>
  <si>
    <t>JOB1280</t>
  </si>
  <si>
    <t>JOB1087</t>
  </si>
  <si>
    <t>JOB1173</t>
  </si>
  <si>
    <t>JOB1243</t>
  </si>
  <si>
    <t>JOB1096</t>
  </si>
  <si>
    <t>JOB1036</t>
  </si>
  <si>
    <t>JOB1122</t>
  </si>
  <si>
    <t>JOB1097</t>
  </si>
  <si>
    <t>JOB1107</t>
  </si>
  <si>
    <t>JOB1063</t>
  </si>
  <si>
    <t>JOB1207</t>
  </si>
  <si>
    <t>JOB1223</t>
  </si>
  <si>
    <t>JOB1268</t>
  </si>
  <si>
    <t>JOB1038</t>
  </si>
  <si>
    <t>JOB1180</t>
  </si>
  <si>
    <t>JOB1156</t>
  </si>
  <si>
    <t>JOB1269</t>
  </si>
  <si>
    <t>JOB1272</t>
  </si>
  <si>
    <t>JOB1043</t>
  </si>
  <si>
    <t>JOB1155</t>
  </si>
  <si>
    <t>JOB1032</t>
  </si>
  <si>
    <t>JOB1061</t>
  </si>
  <si>
    <t>JOB1005</t>
  </si>
  <si>
    <t>JOB1034</t>
  </si>
  <si>
    <t>JOB1291</t>
  </si>
  <si>
    <t>JOB1075</t>
  </si>
  <si>
    <t>JOB1011</t>
  </si>
  <si>
    <t>JOB1149</t>
  </si>
  <si>
    <t>JOB1300</t>
  </si>
  <si>
    <t>JOB1080</t>
  </si>
  <si>
    <t>JOB1172</t>
  </si>
  <si>
    <t>JOB1202</t>
  </si>
  <si>
    <t>JOB1008</t>
  </si>
  <si>
    <t>JOB1157</t>
  </si>
  <si>
    <t>JOB1288</t>
  </si>
  <si>
    <t>JOB1159</t>
  </si>
  <si>
    <t>JOB1119</t>
  </si>
  <si>
    <t>JOB1092</t>
  </si>
  <si>
    <t>JOB1220</t>
  </si>
  <si>
    <t>JOB1084</t>
  </si>
  <si>
    <t>JOB1249</t>
  </si>
  <si>
    <t>JOB1037</t>
  </si>
  <si>
    <t>JOB1271</t>
  </si>
  <si>
    <t>JOB1024</t>
  </si>
  <si>
    <t>JOB1050</t>
  </si>
  <si>
    <t>JOB1048</t>
  </si>
  <si>
    <t>JOB1142</t>
  </si>
  <si>
    <t>JOB1158</t>
  </si>
  <si>
    <t>JOB1100</t>
  </si>
  <si>
    <t>JOB1136</t>
  </si>
  <si>
    <t>JOB1296</t>
  </si>
  <si>
    <t>JOB1167</t>
  </si>
  <si>
    <t>JOB1188</t>
  </si>
  <si>
    <t>JOB1082</t>
  </si>
  <si>
    <t>JOB1069</t>
  </si>
  <si>
    <t>JOB1054</t>
  </si>
  <si>
    <t>JOB1018</t>
  </si>
  <si>
    <t>JOB1006</t>
  </si>
  <si>
    <t>JOB1129</t>
  </si>
  <si>
    <t>JOB1040</t>
  </si>
  <si>
    <t>JOB1017</t>
  </si>
  <si>
    <t>JOB1118</t>
  </si>
  <si>
    <t>JOB1088</t>
  </si>
  <si>
    <t>JOB1275</t>
  </si>
  <si>
    <t>JOB1178</t>
  </si>
  <si>
    <t>JOB1121</t>
  </si>
  <si>
    <t>JOB1091</t>
  </si>
  <si>
    <t>JOB1004</t>
  </si>
  <si>
    <t>JOB1030</t>
  </si>
  <si>
    <t>JOB1141</t>
  </si>
  <si>
    <t>JOB1060</t>
  </si>
  <si>
    <t>JOB1106</t>
  </si>
  <si>
    <t>JOB1007</t>
  </si>
  <si>
    <t>JOB1093</t>
  </si>
  <si>
    <t>JOB1145</t>
  </si>
  <si>
    <t>JOB1264</t>
  </si>
  <si>
    <t>JOB1215</t>
  </si>
  <si>
    <t>JOB1287</t>
  </si>
  <si>
    <t>JOB1138</t>
  </si>
  <si>
    <t>JOB1095</t>
  </si>
  <si>
    <t>JOB1265</t>
  </si>
  <si>
    <t>JOB1058</t>
  </si>
  <si>
    <t>JOB1241</t>
  </si>
  <si>
    <t>JOB1186</t>
  </si>
  <si>
    <t>JOB1023</t>
  </si>
  <si>
    <t>JOB1170</t>
  </si>
  <si>
    <t>JOB1055</t>
  </si>
  <si>
    <t>JOB1234</t>
  </si>
  <si>
    <t>JOB1012</t>
  </si>
  <si>
    <t>JOB1039</t>
  </si>
  <si>
    <t>JOB1126</t>
  </si>
  <si>
    <t>JOB1125</t>
  </si>
  <si>
    <t>JOB1286</t>
  </si>
  <si>
    <t>JOB1020</t>
  </si>
  <si>
    <t>JOB1133</t>
  </si>
  <si>
    <t>JOB1176</t>
  </si>
  <si>
    <t>JOB1090</t>
  </si>
  <si>
    <t>JOB1164</t>
  </si>
  <si>
    <t>JOB1293</t>
  </si>
  <si>
    <t>JOB1200</t>
  </si>
  <si>
    <t>JOB1169</t>
  </si>
  <si>
    <t>JOB1057</t>
  </si>
  <si>
    <t>JOB1197</t>
  </si>
  <si>
    <t>JOB1212</t>
  </si>
  <si>
    <t>JOB1203</t>
  </si>
  <si>
    <t>JOB1284</t>
  </si>
  <si>
    <t>JOB1221</t>
  </si>
  <si>
    <t>JOB1166</t>
  </si>
  <si>
    <t>JOB1029</t>
  </si>
  <si>
    <t>JOB1251</t>
  </si>
  <si>
    <t>JOB1182</t>
  </si>
  <si>
    <t>JOB1154</t>
  </si>
  <si>
    <t>JOB1139</t>
  </si>
  <si>
    <t>JOB1218</t>
  </si>
  <si>
    <t>JOB1240</t>
  </si>
  <si>
    <t>JOB1239</t>
  </si>
  <si>
    <t>JOB1292</t>
  </si>
  <si>
    <t>JOB1201</t>
  </si>
  <si>
    <t>JOB1009</t>
  </si>
  <si>
    <t>JOB1143</t>
  </si>
  <si>
    <t>JOB1144</t>
  </si>
  <si>
    <t>JOB1232</t>
  </si>
  <si>
    <t>JOB1192</t>
  </si>
  <si>
    <t>JOB1208</t>
  </si>
  <si>
    <t>JOB1148</t>
  </si>
  <si>
    <t>JOB1233</t>
  </si>
  <si>
    <t>JOB1196</t>
  </si>
  <si>
    <t>JOB1078</t>
  </si>
  <si>
    <t>JOB1273</t>
  </si>
  <si>
    <t>JOB1016</t>
  </si>
  <si>
    <t>JOB1135</t>
  </si>
  <si>
    <t>JOB1211</t>
  </si>
  <si>
    <t>JOB1259</t>
  </si>
  <si>
    <t>JOB1219</t>
  </si>
  <si>
    <t>JOB1199</t>
  </si>
  <si>
    <t>JOB1263</t>
  </si>
  <si>
    <t>JOB1255</t>
  </si>
  <si>
    <t>JOB1146</t>
  </si>
  <si>
    <t>JOB1014</t>
  </si>
  <si>
    <t>JOB1027</t>
  </si>
  <si>
    <t>JOB1134</t>
  </si>
  <si>
    <t>JOB1064</t>
  </si>
  <si>
    <t>JOB1072</t>
  </si>
  <si>
    <t>JOB1123</t>
  </si>
  <si>
    <t>JOB1102</t>
  </si>
  <si>
    <t>JOB1248</t>
  </si>
  <si>
    <t>JOB1253</t>
  </si>
  <si>
    <t>JOB1073</t>
  </si>
  <si>
    <t>JOB1059</t>
  </si>
  <si>
    <t>JOB1160</t>
  </si>
  <si>
    <t>JOB1079</t>
  </si>
  <si>
    <t>JOB1227</t>
  </si>
  <si>
    <t>JOB1285</t>
  </si>
  <si>
    <t>JOB1217</t>
  </si>
  <si>
    <t>JOB1168</t>
  </si>
  <si>
    <t>JOB1113</t>
  </si>
  <si>
    <t>JOB1185</t>
  </si>
  <si>
    <t>JOB1041</t>
  </si>
  <si>
    <t>JOB1070</t>
  </si>
  <si>
    <t>JOB1190</t>
  </si>
  <si>
    <t>JOB1206</t>
  </si>
  <si>
    <t>JOB1137</t>
  </si>
  <si>
    <t>JOB1103</t>
  </si>
  <si>
    <t>JOB1153</t>
  </si>
  <si>
    <t>JOB1163</t>
  </si>
  <si>
    <t>JOB1229</t>
  </si>
  <si>
    <t>JOB1237</t>
  </si>
  <si>
    <t>JOB1189</t>
  </si>
  <si>
    <t>JOB1205</t>
  </si>
  <si>
    <t>JOB1210</t>
  </si>
  <si>
    <t>JOB1033</t>
  </si>
  <si>
    <t>JOB1013</t>
  </si>
  <si>
    <t>JOB1089</t>
  </si>
  <si>
    <t>JOB1028</t>
  </si>
  <si>
    <t>JOB1213</t>
  </si>
  <si>
    <t>JOB1051</t>
  </si>
  <si>
    <t>JOB1277</t>
  </si>
  <si>
    <t>JOB1262</t>
  </si>
  <si>
    <t>JOB1022</t>
  </si>
  <si>
    <t>JOB1278</t>
  </si>
  <si>
    <t>JOB1266</t>
  </si>
  <si>
    <t>JOB1250</t>
  </si>
  <si>
    <t>JOB1026</t>
  </si>
  <si>
    <t>JOB1179</t>
  </si>
  <si>
    <t>JOB1124</t>
  </si>
  <si>
    <t>JOB1086</t>
  </si>
  <si>
    <t>JOB1236</t>
  </si>
  <si>
    <t>JOB1256</t>
  </si>
  <si>
    <t>JOB1226</t>
  </si>
  <si>
    <t>JOB1216</t>
  </si>
  <si>
    <t>JOB1289</t>
  </si>
  <si>
    <t>JOB1068</t>
  </si>
  <si>
    <t>JOB1019</t>
  </si>
  <si>
    <t>JOB1261</t>
  </si>
  <si>
    <t>JOB1053</t>
  </si>
  <si>
    <t>JOB1187</t>
  </si>
  <si>
    <t>JOB1294</t>
  </si>
  <si>
    <t>JOB1116</t>
  </si>
  <si>
    <t>JOB1062</t>
  </si>
  <si>
    <t>JOB1117</t>
  </si>
  <si>
    <t>JOB1282</t>
  </si>
  <si>
    <t>JOB1128</t>
  </si>
  <si>
    <t>JOB1175</t>
  </si>
  <si>
    <t>JOB1094</t>
  </si>
  <si>
    <t>JOB1085</t>
  </si>
  <si>
    <t>JOB1270</t>
  </si>
  <si>
    <t>JOB1130</t>
  </si>
  <si>
    <t>JOB1246</t>
  </si>
  <si>
    <t>MONTHLY BUSINESS SUMMARY – ASLAM REPAIRING WORKS (2014–2020)</t>
  </si>
  <si>
    <t>Month</t>
  </si>
  <si>
    <t>Jobs Done</t>
  </si>
  <si>
    <t>Total Billed (₹)</t>
  </si>
  <si>
    <t>Pending Amount (₹)</t>
  </si>
  <si>
    <t>Labour Revenue (₹)</t>
  </si>
  <si>
    <t>Parts Revenue (₹)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</si>
  <si>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</si>
  <si>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</si>
  <si>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</si>
  <si>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</si>
  <si>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</si>
  <si>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</si>
  <si>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</si>
  <si>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</si>
  <si>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</si>
  <si>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</si>
  <si>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</si>
  <si>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</si>
  <si>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</si>
  <si>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</si>
  <si>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</si>
  <si>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</si>
  <si>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</si>
  <si>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</si>
  <si>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</si>
  <si>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</si>
  <si>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</si>
  <si>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</si>
  <si>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</si>
  <si>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</si>
  <si>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</si>
  <si>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</si>
  <si>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</si>
  <si>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</si>
  <si>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</si>
  <si>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</si>
  <si>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</si>
  <si>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</si>
  <si>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</si>
  <si>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</si>
  <si>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</si>
  <si>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</si>
  <si>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</si>
  <si>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</si>
  <si>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</si>
  <si>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</si>
  <si>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</si>
  <si>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</si>
  <si>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</si>
  <si>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</si>
  <si>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</si>
  <si>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</si>
  <si>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</si>
  <si>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</si>
  <si>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</si>
  <si>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</si>
  <si>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</si>
  <si>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</si>
  <si>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</si>
  <si>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</si>
  <si>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</si>
  <si>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</si>
  <si>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</si>
  <si>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</si>
  <si>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</si>
  <si>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</si>
  <si>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</si>
  <si>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</si>
  <si>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</si>
  <si>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</si>
  <si>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</si>
  <si>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</si>
  <si>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</si>
  <si>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</si>
  <si>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</si>
  <si>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</si>
  <si>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</si>
  <si>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</si>
  <si>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</si>
  <si>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</si>
  <si>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</si>
  <si>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</si>
  <si>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</si>
  <si>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</si>
  <si>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</si>
  <si>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</si>
  <si>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</si>
  <si>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</si>
  <si>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</si>
  <si>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</si>
  <si>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TOTAL</t>
  </si>
  <si>
    <t>VEHICLE TYPE &amp; REPAIR ANALYSIS</t>
  </si>
  <si>
    <t>Jobs</t>
  </si>
  <si>
    <t>Total Revenue (₹)</t>
  </si>
  <si>
    <t>Avg Revenue/Job (₹)</t>
  </si>
  <si>
    <t>Revenue Share</t>
  </si>
  <si>
    <t>Avg Bill (₹)</t>
  </si>
  <si>
    <t>PAYMENT &amp; COLLECTION ANALYSIS</t>
  </si>
  <si>
    <t>Total Billed</t>
  </si>
  <si>
    <t>Total Received</t>
  </si>
  <si>
    <t>Total Pending</t>
  </si>
  <si>
    <t>Avg Collection Rate</t>
  </si>
  <si>
    <t>Transactions</t>
  </si>
  <si>
    <t>Amount Collected (₹)</t>
  </si>
  <si>
    <t>% of Transactions</t>
  </si>
  <si>
    <t>Vehicle</t>
  </si>
  <si>
    <t>Repair</t>
  </si>
  <si>
    <t>Billed (₹)</t>
  </si>
  <si>
    <t>Received (₹)</t>
  </si>
  <si>
    <t>Balance (₹)</t>
  </si>
  <si>
    <t>Bulker</t>
  </si>
  <si>
    <t>chessis Repair</t>
  </si>
  <si>
    <t>Chessis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</si>
</sst>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yyyy\-mm\-dd"/>
    <numFmt numFmtId="167" formatCode="dd\-mmm\-yy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u/>
      <sz val="10"/>
      <color rgb="FFFFFFFF"/>
      <name val="Arial"/>
      <charset val="1"/>
    </font>
    <font>
      <b/>
      <sz val="14"/>
      <color rgb="FFFFFFFF"/>
      <name val="Arial"/>
      <charset val="1"/>
    </font>
    <font>
      <sz val="10"/>
      <color rgb="FFC00000"/>
      <name val="Arial"/>
      <charset val="1"/>
    </font>
    <font>
      <sz val="10"/>
      <color rgb="FF375623"/>
      <name val="Arial"/>
      <charset val="1"/>
    </font>
    <font>
      <b/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70AD47"/>
        <bgColor rgb="FF9BBB59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9F9F9"/>
      </patternFill>
    </fill>
    <fill>
      <patternFill patternType="solid">
        <fgColor rgb="FF595959"/>
        <bgColor rgb="FF375623"/>
      </patternFill>
    </fill>
    <fill>
      <patternFill patternType="solid">
        <fgColor rgb="FFBDD7EE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165" fontId="1" fillId="6" borderId="0" xfId="0" applyNumberFormat="1" applyFont="1" applyFill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166" fontId="5" fillId="9" borderId="2" xfId="0" applyNumberFormat="1" applyFont="1" applyFill="1" applyBorder="1" applyAlignment="1">
      <alignment horizontal="left" vertical="center"/>
    </xf>
    <xf numFmtId="164" fontId="5" fillId="9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166" fontId="5" fillId="3" borderId="2" xfId="0" applyNumberFormat="1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64" fontId="5" fillId="9" borderId="2" xfId="0" applyNumberFormat="1" applyFont="1" applyFill="1" applyBorder="1" applyAlignment="1">
      <alignment horizontal="center" vertical="center"/>
    </xf>
    <xf numFmtId="165" fontId="5" fillId="9" borderId="2" xfId="0" applyNumberFormat="1" applyFont="1" applyFill="1" applyBorder="1" applyAlignment="1">
      <alignment horizontal="center" vertical="center"/>
    </xf>
    <xf numFmtId="164" fontId="9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11" fillId="11" borderId="0" xfId="0" applyFont="1" applyFill="1"/>
    <xf numFmtId="0" fontId="11" fillId="11" borderId="2" xfId="0" applyFont="1" applyFill="1" applyBorder="1" applyAlignment="1">
      <alignment horizontal="center" vertical="center"/>
    </xf>
    <xf numFmtId="164" fontId="11" fillId="11" borderId="2" xfId="0" applyNumberFormat="1" applyFont="1" applyFill="1" applyBorder="1" applyAlignment="1">
      <alignment horizontal="center" vertical="center"/>
    </xf>
    <xf numFmtId="165" fontId="11" fillId="11" borderId="2" xfId="0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7" fontId="5" fillId="3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167" fontId="5" fillId="9" borderId="2" xfId="0" applyNumberFormat="1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6" fillId="10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ED7D31"/>
      <rgbColor rgb="FF8064A2"/>
      <rgbColor rgb="FF70AD47"/>
      <rgbColor rgb="FF1F3864"/>
      <rgbColor rgb="FF4A7EBB"/>
      <rgbColor rgb="FF003300"/>
      <rgbColor rgb="FF333300"/>
      <rgbColor rgb="FF993300"/>
      <rgbColor rgb="FF993366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Billed vs Received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Summary'!$C$2</c:f>
              <c:strCache>
                <c:ptCount val="1"/>
                <c:pt idx="0">
                  <c:v>Total Billed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Summary'!$A$3:$A$86</c:f>
              <c:strCache>
                <c:ptCount val="84"/>
                <c:pt idx="0">
                  <c:v>Jan-14</c:v>
                </c:pt>
                <c:pt idx="1">
                  <c:v>Feb-14</c:v>
                </c:pt>
                <c:pt idx="2">
                  <c:v>Mar-14</c:v>
                </c:pt>
                <c:pt idx="3">
                  <c:v>Apr-14</c:v>
                </c:pt>
                <c:pt idx="4">
                  <c:v>May-14</c:v>
                </c:pt>
                <c:pt idx="5">
                  <c:v>Jun-14</c:v>
                </c:pt>
                <c:pt idx="6">
                  <c:v>Jul-14</c:v>
                </c:pt>
                <c:pt idx="7">
                  <c:v>Aug-14</c:v>
                </c:pt>
                <c:pt idx="8">
                  <c:v>Sep-14</c:v>
                </c:pt>
                <c:pt idx="9">
                  <c:v>Oct-14</c:v>
                </c:pt>
                <c:pt idx="10">
                  <c:v>Nov-14</c:v>
                </c:pt>
                <c:pt idx="11">
                  <c:v>Dec-14</c:v>
                </c:pt>
                <c:pt idx="12">
                  <c:v>Jan-15</c:v>
                </c:pt>
                <c:pt idx="13">
                  <c:v>Feb-15</c:v>
                </c:pt>
                <c:pt idx="14">
                  <c:v>Mar-15</c:v>
                </c:pt>
                <c:pt idx="15">
                  <c:v>Apr-15</c:v>
                </c:pt>
                <c:pt idx="16">
                  <c:v>May-15</c:v>
                </c:pt>
                <c:pt idx="17">
                  <c:v>Jun-15</c:v>
                </c:pt>
                <c:pt idx="18">
                  <c:v>Jul-15</c:v>
                </c:pt>
                <c:pt idx="19">
                  <c:v>Aug-15</c:v>
                </c:pt>
                <c:pt idx="20">
                  <c:v>Sep-15</c:v>
                </c:pt>
                <c:pt idx="21">
                  <c:v>Oct-15</c:v>
                </c:pt>
                <c:pt idx="22">
                  <c:v>Nov-15</c:v>
                </c:pt>
                <c:pt idx="23">
                  <c:v>Dec-15</c:v>
                </c:pt>
                <c:pt idx="24">
                  <c:v>Jan-16</c:v>
                </c:pt>
                <c:pt idx="25">
                  <c:v>Feb-16</c:v>
                </c:pt>
                <c:pt idx="26">
                  <c:v>Mar-16</c:v>
                </c:pt>
                <c:pt idx="27">
                  <c:v>Apr-16</c:v>
                </c:pt>
                <c:pt idx="28">
                  <c:v>May-16</c:v>
                </c:pt>
                <c:pt idx="29">
                  <c:v>Jun-16</c:v>
                </c:pt>
                <c:pt idx="30">
                  <c:v>Jul-16</c:v>
                </c:pt>
                <c:pt idx="31">
                  <c:v>Aug-16</c:v>
                </c:pt>
                <c:pt idx="32">
                  <c:v>Sep-16</c:v>
                </c:pt>
                <c:pt idx="33">
                  <c:v>Oct-16</c:v>
                </c:pt>
                <c:pt idx="34">
                  <c:v>Nov-16</c:v>
                </c:pt>
                <c:pt idx="35">
                  <c:v>Dec-16</c:v>
                </c:pt>
                <c:pt idx="36">
                  <c:v>Jan-17</c:v>
                </c:pt>
                <c:pt idx="37">
                  <c:v>Feb-17</c:v>
                </c:pt>
                <c:pt idx="38">
                  <c:v>Mar-17</c:v>
                </c:pt>
                <c:pt idx="39">
                  <c:v>Apr-17</c:v>
                </c:pt>
                <c:pt idx="40">
                  <c:v>May-17</c:v>
                </c:pt>
                <c:pt idx="41">
                  <c:v>Jun-17</c:v>
                </c:pt>
                <c:pt idx="42">
                  <c:v>Jul-17</c:v>
                </c:pt>
                <c:pt idx="43">
                  <c:v>Aug-17</c:v>
                </c:pt>
                <c:pt idx="44">
                  <c:v>Sep-17</c:v>
                </c:pt>
                <c:pt idx="45">
                  <c:v>Oct-17</c:v>
                </c:pt>
                <c:pt idx="46">
                  <c:v>Nov-17</c:v>
                </c:pt>
                <c:pt idx="47">
                  <c:v>Dec-17</c:v>
                </c:pt>
                <c:pt idx="48">
                  <c:v>Jan-18</c:v>
                </c:pt>
                <c:pt idx="49">
                  <c:v>Feb-18</c:v>
                </c:pt>
                <c:pt idx="50">
                  <c:v>Mar-18</c:v>
                </c:pt>
                <c:pt idx="51">
                  <c:v>Apr-18</c:v>
                </c:pt>
                <c:pt idx="52">
                  <c:v>May-18</c:v>
                </c:pt>
                <c:pt idx="53">
                  <c:v>Jun-18</c:v>
                </c:pt>
                <c:pt idx="54">
                  <c:v>Jul-18</c:v>
                </c:pt>
                <c:pt idx="55">
                  <c:v>Aug-18</c:v>
                </c:pt>
                <c:pt idx="56">
                  <c:v>Sep-18</c:v>
                </c:pt>
                <c:pt idx="57">
                  <c:v>Oct-18</c:v>
                </c:pt>
                <c:pt idx="58">
                  <c:v>Nov-18</c:v>
                </c:pt>
                <c:pt idx="59">
                  <c:v>Dec-18</c:v>
                </c:pt>
                <c:pt idx="60">
                  <c:v>Jan-19</c:v>
                </c:pt>
                <c:pt idx="61">
                  <c:v>Feb-19</c:v>
                </c:pt>
                <c:pt idx="62">
                  <c:v>Mar-19</c:v>
                </c:pt>
                <c:pt idx="63">
                  <c:v>Apr-19</c:v>
                </c:pt>
                <c:pt idx="64">
                  <c:v>May-19</c:v>
                </c:pt>
                <c:pt idx="65">
                  <c:v>Jun-19</c:v>
                </c:pt>
                <c:pt idx="66">
                  <c:v>Jul-19</c:v>
                </c:pt>
                <c:pt idx="67">
                  <c:v>Aug-19</c:v>
                </c:pt>
                <c:pt idx="68">
                  <c:v>Sep-19</c:v>
                </c:pt>
                <c:pt idx="69">
                  <c:v>Oct-19</c:v>
                </c:pt>
                <c:pt idx="70">
                  <c:v>Nov-19</c:v>
                </c:pt>
                <c:pt idx="71">
                  <c:v>Dec-19</c:v>
                </c:pt>
                <c:pt idx="72">
                  <c:v>Jan-20</c:v>
                </c:pt>
                <c:pt idx="73">
                  <c:v>Feb-20</c:v>
                </c:pt>
                <c:pt idx="74">
                  <c:v>Mar-20</c:v>
                </c:pt>
                <c:pt idx="75">
                  <c:v>Apr-20</c:v>
                </c:pt>
                <c:pt idx="76">
                  <c:v>May-20</c:v>
                </c:pt>
                <c:pt idx="77">
                  <c:v>Jun-20</c:v>
                </c:pt>
                <c:pt idx="78">
                  <c:v>Jul-20</c:v>
                </c:pt>
                <c:pt idx="79">
                  <c:v>Aug-20</c:v>
                </c:pt>
                <c:pt idx="80">
                  <c:v>Sep-20</c:v>
                </c:pt>
                <c:pt idx="81">
                  <c:v>Oct-20</c:v>
                </c:pt>
                <c:pt idx="82">
                  <c:v>Nov-20</c:v>
                </c:pt>
                <c:pt idx="83">
                  <c:v>Dec-20</c:v>
                </c:pt>
              </c:strCache>
            </c:strRef>
          </c:cat>
          <c:val>
            <c:numRef>
              <c:f>'Monthly Summary'!$C$3:$C$86</c:f>
              <c:numCache>
                <c:formatCode>\₹#,##0</c:formatCode>
                <c:ptCount val="84"/>
                <c:pt idx="0">
                  <c:v>13861</c:v>
                </c:pt>
                <c:pt idx="1">
                  <c:v>48357</c:v>
                </c:pt>
                <c:pt idx="2">
                  <c:v>17446</c:v>
                </c:pt>
                <c:pt idx="3">
                  <c:v>33399</c:v>
                </c:pt>
                <c:pt idx="4">
                  <c:v>41181</c:v>
                </c:pt>
                <c:pt idx="5">
                  <c:v>56641</c:v>
                </c:pt>
                <c:pt idx="6">
                  <c:v>112926</c:v>
                </c:pt>
                <c:pt idx="7">
                  <c:v>67172</c:v>
                </c:pt>
                <c:pt idx="8">
                  <c:v>18191</c:v>
                </c:pt>
                <c:pt idx="9">
                  <c:v>21757</c:v>
                </c:pt>
                <c:pt idx="10">
                  <c:v>112898</c:v>
                </c:pt>
                <c:pt idx="11">
                  <c:v>2048</c:v>
                </c:pt>
                <c:pt idx="12">
                  <c:v>22246</c:v>
                </c:pt>
                <c:pt idx="13">
                  <c:v>55544</c:v>
                </c:pt>
                <c:pt idx="14">
                  <c:v>99415</c:v>
                </c:pt>
                <c:pt idx="15">
                  <c:v>76264</c:v>
                </c:pt>
                <c:pt idx="16">
                  <c:v>56729</c:v>
                </c:pt>
                <c:pt idx="17">
                  <c:v>43505</c:v>
                </c:pt>
                <c:pt idx="18">
                  <c:v>86210</c:v>
                </c:pt>
                <c:pt idx="19">
                  <c:v>57211</c:v>
                </c:pt>
                <c:pt idx="20">
                  <c:v>55224</c:v>
                </c:pt>
                <c:pt idx="21">
                  <c:v>25655</c:v>
                </c:pt>
                <c:pt idx="22">
                  <c:v>25781</c:v>
                </c:pt>
                <c:pt idx="23">
                  <c:v>62157</c:v>
                </c:pt>
                <c:pt idx="24">
                  <c:v>47533</c:v>
                </c:pt>
                <c:pt idx="25">
                  <c:v>34737</c:v>
                </c:pt>
                <c:pt idx="26">
                  <c:v>47159</c:v>
                </c:pt>
                <c:pt idx="27">
                  <c:v>79612</c:v>
                </c:pt>
                <c:pt idx="28">
                  <c:v>69910</c:v>
                </c:pt>
                <c:pt idx="29">
                  <c:v>75168</c:v>
                </c:pt>
                <c:pt idx="30">
                  <c:v>51038</c:v>
                </c:pt>
                <c:pt idx="31">
                  <c:v>25322</c:v>
                </c:pt>
                <c:pt idx="32">
                  <c:v>62381</c:v>
                </c:pt>
                <c:pt idx="33">
                  <c:v>102105</c:v>
                </c:pt>
                <c:pt idx="34">
                  <c:v>70187</c:v>
                </c:pt>
                <c:pt idx="35">
                  <c:v>80446</c:v>
                </c:pt>
                <c:pt idx="36">
                  <c:v>43044</c:v>
                </c:pt>
                <c:pt idx="37">
                  <c:v>28876</c:v>
                </c:pt>
                <c:pt idx="38">
                  <c:v>46658</c:v>
                </c:pt>
                <c:pt idx="39">
                  <c:v>34590</c:v>
                </c:pt>
                <c:pt idx="40">
                  <c:v>39988</c:v>
                </c:pt>
                <c:pt idx="41">
                  <c:v>84225</c:v>
                </c:pt>
                <c:pt idx="42">
                  <c:v>59105</c:v>
                </c:pt>
                <c:pt idx="43">
                  <c:v>76678</c:v>
                </c:pt>
                <c:pt idx="44">
                  <c:v>73171</c:v>
                </c:pt>
                <c:pt idx="45">
                  <c:v>90667</c:v>
                </c:pt>
                <c:pt idx="46">
                  <c:v>13601</c:v>
                </c:pt>
                <c:pt idx="47">
                  <c:v>20516</c:v>
                </c:pt>
                <c:pt idx="48">
                  <c:v>60181</c:v>
                </c:pt>
                <c:pt idx="49">
                  <c:v>61065</c:v>
                </c:pt>
                <c:pt idx="50">
                  <c:v>60593</c:v>
                </c:pt>
                <c:pt idx="51">
                  <c:v>48349</c:v>
                </c:pt>
                <c:pt idx="52">
                  <c:v>56251</c:v>
                </c:pt>
                <c:pt idx="53">
                  <c:v>25774</c:v>
                </c:pt>
                <c:pt idx="54">
                  <c:v>12890</c:v>
                </c:pt>
                <c:pt idx="55">
                  <c:v>52549</c:v>
                </c:pt>
                <c:pt idx="56">
                  <c:v>89434</c:v>
                </c:pt>
                <c:pt idx="57">
                  <c:v>36416</c:v>
                </c:pt>
                <c:pt idx="58">
                  <c:v>52623</c:v>
                </c:pt>
                <c:pt idx="59">
                  <c:v>128913</c:v>
                </c:pt>
                <c:pt idx="60">
                  <c:v>30635</c:v>
                </c:pt>
                <c:pt idx="61">
                  <c:v>25457</c:v>
                </c:pt>
                <c:pt idx="62">
                  <c:v>30222</c:v>
                </c:pt>
                <c:pt idx="63">
                  <c:v>40489</c:v>
                </c:pt>
                <c:pt idx="64">
                  <c:v>45700</c:v>
                </c:pt>
                <c:pt idx="65">
                  <c:v>46476</c:v>
                </c:pt>
                <c:pt idx="66">
                  <c:v>65078</c:v>
                </c:pt>
                <c:pt idx="67">
                  <c:v>37605</c:v>
                </c:pt>
                <c:pt idx="68">
                  <c:v>47143</c:v>
                </c:pt>
                <c:pt idx="69">
                  <c:v>48447</c:v>
                </c:pt>
                <c:pt idx="70">
                  <c:v>26111</c:v>
                </c:pt>
                <c:pt idx="71">
                  <c:v>76858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C-4B96-8FB5-20BF1F099804}"/>
            </c:ext>
          </c:extLst>
        </c:ser>
        <c:ser>
          <c:idx val="1"/>
          <c:order val="1"/>
          <c:tx>
            <c:strRef>
              <c:f>'Monthly Summary'!$D$2</c:f>
              <c:strCache>
                <c:ptCount val="1"/>
                <c:pt idx="0">
                  <c:v>Amount Received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Summary'!$A$3:$A$86</c:f>
              <c:strCache>
                <c:ptCount val="84"/>
                <c:pt idx="0">
                  <c:v>Jan-14</c:v>
                </c:pt>
                <c:pt idx="1">
                  <c:v>Feb-14</c:v>
                </c:pt>
                <c:pt idx="2">
                  <c:v>Mar-14</c:v>
                </c:pt>
                <c:pt idx="3">
                  <c:v>Apr-14</c:v>
                </c:pt>
                <c:pt idx="4">
                  <c:v>May-14</c:v>
                </c:pt>
                <c:pt idx="5">
                  <c:v>Jun-14</c:v>
                </c:pt>
                <c:pt idx="6">
                  <c:v>Jul-14</c:v>
                </c:pt>
                <c:pt idx="7">
                  <c:v>Aug-14</c:v>
                </c:pt>
                <c:pt idx="8">
                  <c:v>Sep-14</c:v>
                </c:pt>
                <c:pt idx="9">
                  <c:v>Oct-14</c:v>
                </c:pt>
                <c:pt idx="10">
                  <c:v>Nov-14</c:v>
                </c:pt>
                <c:pt idx="11">
                  <c:v>Dec-14</c:v>
                </c:pt>
                <c:pt idx="12">
                  <c:v>Jan-15</c:v>
                </c:pt>
                <c:pt idx="13">
                  <c:v>Feb-15</c:v>
                </c:pt>
                <c:pt idx="14">
                  <c:v>Mar-15</c:v>
                </c:pt>
                <c:pt idx="15">
                  <c:v>Apr-15</c:v>
                </c:pt>
                <c:pt idx="16">
                  <c:v>May-15</c:v>
                </c:pt>
                <c:pt idx="17">
                  <c:v>Jun-15</c:v>
                </c:pt>
                <c:pt idx="18">
                  <c:v>Jul-15</c:v>
                </c:pt>
                <c:pt idx="19">
                  <c:v>Aug-15</c:v>
                </c:pt>
                <c:pt idx="20">
                  <c:v>Sep-15</c:v>
                </c:pt>
                <c:pt idx="21">
                  <c:v>Oct-15</c:v>
                </c:pt>
                <c:pt idx="22">
                  <c:v>Nov-15</c:v>
                </c:pt>
                <c:pt idx="23">
                  <c:v>Dec-15</c:v>
                </c:pt>
                <c:pt idx="24">
                  <c:v>Jan-16</c:v>
                </c:pt>
                <c:pt idx="25">
                  <c:v>Feb-16</c:v>
                </c:pt>
                <c:pt idx="26">
                  <c:v>Mar-16</c:v>
                </c:pt>
                <c:pt idx="27">
                  <c:v>Apr-16</c:v>
                </c:pt>
                <c:pt idx="28">
                  <c:v>May-16</c:v>
                </c:pt>
                <c:pt idx="29">
                  <c:v>Jun-16</c:v>
                </c:pt>
                <c:pt idx="30">
                  <c:v>Jul-16</c:v>
                </c:pt>
                <c:pt idx="31">
                  <c:v>Aug-16</c:v>
                </c:pt>
                <c:pt idx="32">
                  <c:v>Sep-16</c:v>
                </c:pt>
                <c:pt idx="33">
                  <c:v>Oct-16</c:v>
                </c:pt>
                <c:pt idx="34">
                  <c:v>Nov-16</c:v>
                </c:pt>
                <c:pt idx="35">
                  <c:v>Dec-16</c:v>
                </c:pt>
                <c:pt idx="36">
                  <c:v>Jan-17</c:v>
                </c:pt>
                <c:pt idx="37">
                  <c:v>Feb-17</c:v>
                </c:pt>
                <c:pt idx="38">
                  <c:v>Mar-17</c:v>
                </c:pt>
                <c:pt idx="39">
                  <c:v>Apr-17</c:v>
                </c:pt>
                <c:pt idx="40">
                  <c:v>May-17</c:v>
                </c:pt>
                <c:pt idx="41">
                  <c:v>Jun-17</c:v>
                </c:pt>
                <c:pt idx="42">
                  <c:v>Jul-17</c:v>
                </c:pt>
                <c:pt idx="43">
                  <c:v>Aug-17</c:v>
                </c:pt>
                <c:pt idx="44">
                  <c:v>Sep-17</c:v>
                </c:pt>
                <c:pt idx="45">
                  <c:v>Oct-17</c:v>
                </c:pt>
                <c:pt idx="46">
                  <c:v>Nov-17</c:v>
                </c:pt>
                <c:pt idx="47">
                  <c:v>Dec-17</c:v>
                </c:pt>
                <c:pt idx="48">
                  <c:v>Jan-18</c:v>
                </c:pt>
                <c:pt idx="49">
                  <c:v>Feb-18</c:v>
                </c:pt>
                <c:pt idx="50">
                  <c:v>Mar-18</c:v>
                </c:pt>
                <c:pt idx="51">
                  <c:v>Apr-18</c:v>
                </c:pt>
                <c:pt idx="52">
                  <c:v>May-18</c:v>
                </c:pt>
                <c:pt idx="53">
                  <c:v>Jun-18</c:v>
                </c:pt>
                <c:pt idx="54">
                  <c:v>Jul-18</c:v>
                </c:pt>
                <c:pt idx="55">
                  <c:v>Aug-18</c:v>
                </c:pt>
                <c:pt idx="56">
                  <c:v>Sep-18</c:v>
                </c:pt>
                <c:pt idx="57">
                  <c:v>Oct-18</c:v>
                </c:pt>
                <c:pt idx="58">
                  <c:v>Nov-18</c:v>
                </c:pt>
                <c:pt idx="59">
                  <c:v>Dec-18</c:v>
                </c:pt>
                <c:pt idx="60">
                  <c:v>Jan-19</c:v>
                </c:pt>
                <c:pt idx="61">
                  <c:v>Feb-19</c:v>
                </c:pt>
                <c:pt idx="62">
                  <c:v>Mar-19</c:v>
                </c:pt>
                <c:pt idx="63">
                  <c:v>Apr-19</c:v>
                </c:pt>
                <c:pt idx="64">
                  <c:v>May-19</c:v>
                </c:pt>
                <c:pt idx="65">
                  <c:v>Jun-19</c:v>
                </c:pt>
                <c:pt idx="66">
                  <c:v>Jul-19</c:v>
                </c:pt>
                <c:pt idx="67">
                  <c:v>Aug-19</c:v>
                </c:pt>
                <c:pt idx="68">
                  <c:v>Sep-19</c:v>
                </c:pt>
                <c:pt idx="69">
                  <c:v>Oct-19</c:v>
                </c:pt>
                <c:pt idx="70">
                  <c:v>Nov-19</c:v>
                </c:pt>
                <c:pt idx="71">
                  <c:v>Dec-19</c:v>
                </c:pt>
                <c:pt idx="72">
                  <c:v>Jan-20</c:v>
                </c:pt>
                <c:pt idx="73">
                  <c:v>Feb-20</c:v>
                </c:pt>
                <c:pt idx="74">
                  <c:v>Mar-20</c:v>
                </c:pt>
                <c:pt idx="75">
                  <c:v>Apr-20</c:v>
                </c:pt>
                <c:pt idx="76">
                  <c:v>May-20</c:v>
                </c:pt>
                <c:pt idx="77">
                  <c:v>Jun-20</c:v>
                </c:pt>
                <c:pt idx="78">
                  <c:v>Jul-20</c:v>
                </c:pt>
                <c:pt idx="79">
                  <c:v>Aug-20</c:v>
                </c:pt>
                <c:pt idx="80">
                  <c:v>Sep-20</c:v>
                </c:pt>
                <c:pt idx="81">
                  <c:v>Oct-20</c:v>
                </c:pt>
                <c:pt idx="82">
                  <c:v>Nov-20</c:v>
                </c:pt>
                <c:pt idx="83">
                  <c:v>Dec-20</c:v>
                </c:pt>
              </c:strCache>
            </c:strRef>
          </c:cat>
          <c:val>
            <c:numRef>
              <c:f>'Monthly Summary'!$D$3:$D$86</c:f>
              <c:numCache>
                <c:formatCode>\₹#,##0</c:formatCode>
                <c:ptCount val="84"/>
                <c:pt idx="0">
                  <c:v>4409</c:v>
                </c:pt>
                <c:pt idx="1">
                  <c:v>38160</c:v>
                </c:pt>
                <c:pt idx="2">
                  <c:v>12592</c:v>
                </c:pt>
                <c:pt idx="3">
                  <c:v>12908</c:v>
                </c:pt>
                <c:pt idx="4">
                  <c:v>31980</c:v>
                </c:pt>
                <c:pt idx="5">
                  <c:v>47920</c:v>
                </c:pt>
                <c:pt idx="6">
                  <c:v>101130</c:v>
                </c:pt>
                <c:pt idx="7">
                  <c:v>62031</c:v>
                </c:pt>
                <c:pt idx="8">
                  <c:v>18191</c:v>
                </c:pt>
                <c:pt idx="9">
                  <c:v>15888</c:v>
                </c:pt>
                <c:pt idx="10">
                  <c:v>85736</c:v>
                </c:pt>
                <c:pt idx="11">
                  <c:v>2048</c:v>
                </c:pt>
                <c:pt idx="12">
                  <c:v>22246</c:v>
                </c:pt>
                <c:pt idx="13">
                  <c:v>55544</c:v>
                </c:pt>
                <c:pt idx="14">
                  <c:v>56187</c:v>
                </c:pt>
                <c:pt idx="15">
                  <c:v>50891</c:v>
                </c:pt>
                <c:pt idx="16">
                  <c:v>33284</c:v>
                </c:pt>
                <c:pt idx="17">
                  <c:v>26256</c:v>
                </c:pt>
                <c:pt idx="18">
                  <c:v>66993</c:v>
                </c:pt>
                <c:pt idx="19">
                  <c:v>57211</c:v>
                </c:pt>
                <c:pt idx="20">
                  <c:v>41200</c:v>
                </c:pt>
                <c:pt idx="21">
                  <c:v>18111</c:v>
                </c:pt>
                <c:pt idx="22">
                  <c:v>25781</c:v>
                </c:pt>
                <c:pt idx="23">
                  <c:v>23550</c:v>
                </c:pt>
                <c:pt idx="24">
                  <c:v>47533</c:v>
                </c:pt>
                <c:pt idx="25">
                  <c:v>34737</c:v>
                </c:pt>
                <c:pt idx="26">
                  <c:v>36137</c:v>
                </c:pt>
                <c:pt idx="27">
                  <c:v>50975</c:v>
                </c:pt>
                <c:pt idx="28">
                  <c:v>69910</c:v>
                </c:pt>
                <c:pt idx="29">
                  <c:v>70791</c:v>
                </c:pt>
                <c:pt idx="30">
                  <c:v>47422</c:v>
                </c:pt>
                <c:pt idx="31">
                  <c:v>25322</c:v>
                </c:pt>
                <c:pt idx="32">
                  <c:v>48049</c:v>
                </c:pt>
                <c:pt idx="33">
                  <c:v>82698</c:v>
                </c:pt>
                <c:pt idx="34">
                  <c:v>58518</c:v>
                </c:pt>
                <c:pt idx="35">
                  <c:v>70603</c:v>
                </c:pt>
                <c:pt idx="36">
                  <c:v>43044</c:v>
                </c:pt>
                <c:pt idx="37">
                  <c:v>15957</c:v>
                </c:pt>
                <c:pt idx="38">
                  <c:v>46658</c:v>
                </c:pt>
                <c:pt idx="39">
                  <c:v>34590</c:v>
                </c:pt>
                <c:pt idx="40">
                  <c:v>30371</c:v>
                </c:pt>
                <c:pt idx="41">
                  <c:v>66993</c:v>
                </c:pt>
                <c:pt idx="42">
                  <c:v>46649</c:v>
                </c:pt>
                <c:pt idx="43">
                  <c:v>50446</c:v>
                </c:pt>
                <c:pt idx="44">
                  <c:v>55504</c:v>
                </c:pt>
                <c:pt idx="45">
                  <c:v>61847</c:v>
                </c:pt>
                <c:pt idx="46">
                  <c:v>13601</c:v>
                </c:pt>
                <c:pt idx="47">
                  <c:v>20516</c:v>
                </c:pt>
                <c:pt idx="48">
                  <c:v>60181</c:v>
                </c:pt>
                <c:pt idx="49">
                  <c:v>53434</c:v>
                </c:pt>
                <c:pt idx="50">
                  <c:v>60593</c:v>
                </c:pt>
                <c:pt idx="51">
                  <c:v>48349</c:v>
                </c:pt>
                <c:pt idx="52">
                  <c:v>56251</c:v>
                </c:pt>
                <c:pt idx="53">
                  <c:v>858</c:v>
                </c:pt>
                <c:pt idx="54">
                  <c:v>2902</c:v>
                </c:pt>
                <c:pt idx="55">
                  <c:v>29187</c:v>
                </c:pt>
                <c:pt idx="56">
                  <c:v>84657</c:v>
                </c:pt>
                <c:pt idx="57">
                  <c:v>29052</c:v>
                </c:pt>
                <c:pt idx="58">
                  <c:v>34278</c:v>
                </c:pt>
                <c:pt idx="59">
                  <c:v>108113</c:v>
                </c:pt>
                <c:pt idx="60">
                  <c:v>20381</c:v>
                </c:pt>
                <c:pt idx="61">
                  <c:v>9019</c:v>
                </c:pt>
                <c:pt idx="62">
                  <c:v>30222</c:v>
                </c:pt>
                <c:pt idx="63">
                  <c:v>40489</c:v>
                </c:pt>
                <c:pt idx="64">
                  <c:v>19473</c:v>
                </c:pt>
                <c:pt idx="65">
                  <c:v>34232</c:v>
                </c:pt>
                <c:pt idx="66">
                  <c:v>43196</c:v>
                </c:pt>
                <c:pt idx="67">
                  <c:v>37605</c:v>
                </c:pt>
                <c:pt idx="68">
                  <c:v>47143</c:v>
                </c:pt>
                <c:pt idx="69">
                  <c:v>28469</c:v>
                </c:pt>
                <c:pt idx="70">
                  <c:v>5734</c:v>
                </c:pt>
                <c:pt idx="71">
                  <c:v>67513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C-4B96-8FB5-20BF1F099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72339"/>
        <c:axId val="80685332"/>
      </c:barChart>
      <c:catAx>
        <c:axId val="343723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85332"/>
        <c:crosses val="autoZero"/>
        <c:auto val="1"/>
        <c:lblAlgn val="ctr"/>
        <c:lblOffset val="100"/>
        <c:noMultiLvlLbl val="0"/>
      </c:catAx>
      <c:valAx>
        <c:axId val="806853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372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Collection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Summary'!$H$2</c:f>
              <c:strCache>
                <c:ptCount val="1"/>
                <c:pt idx="0">
                  <c:v>Collection Rate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Summary'!$A$3:$A$86</c:f>
              <c:strCache>
                <c:ptCount val="84"/>
                <c:pt idx="0">
                  <c:v>Jan-14</c:v>
                </c:pt>
                <c:pt idx="1">
                  <c:v>Feb-14</c:v>
                </c:pt>
                <c:pt idx="2">
                  <c:v>Mar-14</c:v>
                </c:pt>
                <c:pt idx="3">
                  <c:v>Apr-14</c:v>
                </c:pt>
                <c:pt idx="4">
                  <c:v>May-14</c:v>
                </c:pt>
                <c:pt idx="5">
                  <c:v>Jun-14</c:v>
                </c:pt>
                <c:pt idx="6">
                  <c:v>Jul-14</c:v>
                </c:pt>
                <c:pt idx="7">
                  <c:v>Aug-14</c:v>
                </c:pt>
                <c:pt idx="8">
                  <c:v>Sep-14</c:v>
                </c:pt>
                <c:pt idx="9">
                  <c:v>Oct-14</c:v>
                </c:pt>
                <c:pt idx="10">
                  <c:v>Nov-14</c:v>
                </c:pt>
                <c:pt idx="11">
                  <c:v>Dec-14</c:v>
                </c:pt>
                <c:pt idx="12">
                  <c:v>Jan-15</c:v>
                </c:pt>
                <c:pt idx="13">
                  <c:v>Feb-15</c:v>
                </c:pt>
                <c:pt idx="14">
                  <c:v>Mar-15</c:v>
                </c:pt>
                <c:pt idx="15">
                  <c:v>Apr-15</c:v>
                </c:pt>
                <c:pt idx="16">
                  <c:v>May-15</c:v>
                </c:pt>
                <c:pt idx="17">
                  <c:v>Jun-15</c:v>
                </c:pt>
                <c:pt idx="18">
                  <c:v>Jul-15</c:v>
                </c:pt>
                <c:pt idx="19">
                  <c:v>Aug-15</c:v>
                </c:pt>
                <c:pt idx="20">
                  <c:v>Sep-15</c:v>
                </c:pt>
                <c:pt idx="21">
                  <c:v>Oct-15</c:v>
                </c:pt>
                <c:pt idx="22">
                  <c:v>Nov-15</c:v>
                </c:pt>
                <c:pt idx="23">
                  <c:v>Dec-15</c:v>
                </c:pt>
                <c:pt idx="24">
                  <c:v>Jan-16</c:v>
                </c:pt>
                <c:pt idx="25">
                  <c:v>Feb-16</c:v>
                </c:pt>
                <c:pt idx="26">
                  <c:v>Mar-16</c:v>
                </c:pt>
                <c:pt idx="27">
                  <c:v>Apr-16</c:v>
                </c:pt>
                <c:pt idx="28">
                  <c:v>May-16</c:v>
                </c:pt>
                <c:pt idx="29">
                  <c:v>Jun-16</c:v>
                </c:pt>
                <c:pt idx="30">
                  <c:v>Jul-16</c:v>
                </c:pt>
                <c:pt idx="31">
                  <c:v>Aug-16</c:v>
                </c:pt>
                <c:pt idx="32">
                  <c:v>Sep-16</c:v>
                </c:pt>
                <c:pt idx="33">
                  <c:v>Oct-16</c:v>
                </c:pt>
                <c:pt idx="34">
                  <c:v>Nov-16</c:v>
                </c:pt>
                <c:pt idx="35">
                  <c:v>Dec-16</c:v>
                </c:pt>
                <c:pt idx="36">
                  <c:v>Jan-17</c:v>
                </c:pt>
                <c:pt idx="37">
                  <c:v>Feb-17</c:v>
                </c:pt>
                <c:pt idx="38">
                  <c:v>Mar-17</c:v>
                </c:pt>
                <c:pt idx="39">
                  <c:v>Apr-17</c:v>
                </c:pt>
                <c:pt idx="40">
                  <c:v>May-17</c:v>
                </c:pt>
                <c:pt idx="41">
                  <c:v>Jun-17</c:v>
                </c:pt>
                <c:pt idx="42">
                  <c:v>Jul-17</c:v>
                </c:pt>
                <c:pt idx="43">
                  <c:v>Aug-17</c:v>
                </c:pt>
                <c:pt idx="44">
                  <c:v>Sep-17</c:v>
                </c:pt>
                <c:pt idx="45">
                  <c:v>Oct-17</c:v>
                </c:pt>
                <c:pt idx="46">
                  <c:v>Nov-17</c:v>
                </c:pt>
                <c:pt idx="47">
                  <c:v>Dec-17</c:v>
                </c:pt>
                <c:pt idx="48">
                  <c:v>Jan-18</c:v>
                </c:pt>
                <c:pt idx="49">
                  <c:v>Feb-18</c:v>
                </c:pt>
                <c:pt idx="50">
                  <c:v>Mar-18</c:v>
                </c:pt>
                <c:pt idx="51">
                  <c:v>Apr-18</c:v>
                </c:pt>
                <c:pt idx="52">
                  <c:v>May-18</c:v>
                </c:pt>
                <c:pt idx="53">
                  <c:v>Jun-18</c:v>
                </c:pt>
                <c:pt idx="54">
                  <c:v>Jul-18</c:v>
                </c:pt>
                <c:pt idx="55">
                  <c:v>Aug-18</c:v>
                </c:pt>
                <c:pt idx="56">
                  <c:v>Sep-18</c:v>
                </c:pt>
                <c:pt idx="57">
                  <c:v>Oct-18</c:v>
                </c:pt>
                <c:pt idx="58">
                  <c:v>Nov-18</c:v>
                </c:pt>
                <c:pt idx="59">
                  <c:v>Dec-18</c:v>
                </c:pt>
                <c:pt idx="60">
                  <c:v>Jan-19</c:v>
                </c:pt>
                <c:pt idx="61">
                  <c:v>Feb-19</c:v>
                </c:pt>
                <c:pt idx="62">
                  <c:v>Mar-19</c:v>
                </c:pt>
                <c:pt idx="63">
                  <c:v>Apr-19</c:v>
                </c:pt>
                <c:pt idx="64">
                  <c:v>May-19</c:v>
                </c:pt>
                <c:pt idx="65">
                  <c:v>Jun-19</c:v>
                </c:pt>
                <c:pt idx="66">
                  <c:v>Jul-19</c:v>
                </c:pt>
                <c:pt idx="67">
                  <c:v>Aug-19</c:v>
                </c:pt>
                <c:pt idx="68">
                  <c:v>Sep-19</c:v>
                </c:pt>
                <c:pt idx="69">
                  <c:v>Oct-19</c:v>
                </c:pt>
                <c:pt idx="70">
                  <c:v>Nov-19</c:v>
                </c:pt>
                <c:pt idx="71">
                  <c:v>Dec-19</c:v>
                </c:pt>
                <c:pt idx="72">
                  <c:v>Jan-20</c:v>
                </c:pt>
                <c:pt idx="73">
                  <c:v>Feb-20</c:v>
                </c:pt>
                <c:pt idx="74">
                  <c:v>Mar-20</c:v>
                </c:pt>
                <c:pt idx="75">
                  <c:v>Apr-20</c:v>
                </c:pt>
                <c:pt idx="76">
                  <c:v>May-20</c:v>
                </c:pt>
                <c:pt idx="77">
                  <c:v>Jun-20</c:v>
                </c:pt>
                <c:pt idx="78">
                  <c:v>Jul-20</c:v>
                </c:pt>
                <c:pt idx="79">
                  <c:v>Aug-20</c:v>
                </c:pt>
                <c:pt idx="80">
                  <c:v>Sep-20</c:v>
                </c:pt>
                <c:pt idx="81">
                  <c:v>Oct-20</c:v>
                </c:pt>
                <c:pt idx="82">
                  <c:v>Nov-20</c:v>
                </c:pt>
                <c:pt idx="83">
                  <c:v>Dec-20</c:v>
                </c:pt>
              </c:strCache>
            </c:strRef>
          </c:cat>
          <c:val>
            <c:numRef>
              <c:f>'Monthly Summary'!$H$3:$H$86</c:f>
              <c:numCache>
                <c:formatCode>0.0%</c:formatCode>
                <c:ptCount val="84"/>
                <c:pt idx="0">
                  <c:v>0.318086718130005</c:v>
                </c:pt>
                <c:pt idx="1">
                  <c:v>0.78913083938209605</c:v>
                </c:pt>
                <c:pt idx="2">
                  <c:v>0.72177003324544298</c:v>
                </c:pt>
                <c:pt idx="3">
                  <c:v>0.38647863708494301</c:v>
                </c:pt>
                <c:pt idx="4">
                  <c:v>0.77657171996794605</c:v>
                </c:pt>
                <c:pt idx="5">
                  <c:v>0.84603026076516996</c:v>
                </c:pt>
                <c:pt idx="6">
                  <c:v>0.89554221348493701</c:v>
                </c:pt>
                <c:pt idx="7">
                  <c:v>0.92346513428214105</c:v>
                </c:pt>
                <c:pt idx="8">
                  <c:v>1</c:v>
                </c:pt>
                <c:pt idx="9">
                  <c:v>0.73024773636071205</c:v>
                </c:pt>
                <c:pt idx="10">
                  <c:v>0.75941114988750902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0.56517628124528496</c:v>
                </c:pt>
                <c:pt idx="15">
                  <c:v>0.66730043008496798</c:v>
                </c:pt>
                <c:pt idx="16">
                  <c:v>0.58671931463625304</c:v>
                </c:pt>
                <c:pt idx="17">
                  <c:v>0.60351683714515603</c:v>
                </c:pt>
                <c:pt idx="18">
                  <c:v>0.77709082473030999</c:v>
                </c:pt>
                <c:pt idx="19">
                  <c:v>1</c:v>
                </c:pt>
                <c:pt idx="20">
                  <c:v>0.74605244096769496</c:v>
                </c:pt>
                <c:pt idx="21">
                  <c:v>0.70594426037809399</c:v>
                </c:pt>
                <c:pt idx="22">
                  <c:v>1</c:v>
                </c:pt>
                <c:pt idx="23">
                  <c:v>0.37887928954100097</c:v>
                </c:pt>
                <c:pt idx="24">
                  <c:v>1</c:v>
                </c:pt>
                <c:pt idx="25">
                  <c:v>1</c:v>
                </c:pt>
                <c:pt idx="26">
                  <c:v>0.76628003138319301</c:v>
                </c:pt>
                <c:pt idx="27">
                  <c:v>0.64029292066522603</c:v>
                </c:pt>
                <c:pt idx="28">
                  <c:v>1</c:v>
                </c:pt>
                <c:pt idx="29">
                  <c:v>0.94177043422733098</c:v>
                </c:pt>
                <c:pt idx="30">
                  <c:v>0.92915082879423205</c:v>
                </c:pt>
                <c:pt idx="31">
                  <c:v>1</c:v>
                </c:pt>
                <c:pt idx="32">
                  <c:v>0.77025055706064405</c:v>
                </c:pt>
                <c:pt idx="33">
                  <c:v>0.80993095343029198</c:v>
                </c:pt>
                <c:pt idx="34">
                  <c:v>0.83374414065282698</c:v>
                </c:pt>
                <c:pt idx="35">
                  <c:v>0.87764463118116498</c:v>
                </c:pt>
                <c:pt idx="36">
                  <c:v>1</c:v>
                </c:pt>
                <c:pt idx="37">
                  <c:v>0.55260423881424003</c:v>
                </c:pt>
                <c:pt idx="38">
                  <c:v>1</c:v>
                </c:pt>
                <c:pt idx="39">
                  <c:v>1</c:v>
                </c:pt>
                <c:pt idx="40">
                  <c:v>0.75950285085525704</c:v>
                </c:pt>
                <c:pt idx="41">
                  <c:v>0.79540516473731104</c:v>
                </c:pt>
                <c:pt idx="42">
                  <c:v>0.78925640808730202</c:v>
                </c:pt>
                <c:pt idx="43">
                  <c:v>0.65789405044471705</c:v>
                </c:pt>
                <c:pt idx="44">
                  <c:v>0.75855188530975404</c:v>
                </c:pt>
                <c:pt idx="45">
                  <c:v>0.68213352156793505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0.87503479898468906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3.3289361371925202E-2</c:v>
                </c:pt>
                <c:pt idx="54">
                  <c:v>0.225135764158262</c:v>
                </c:pt>
                <c:pt idx="55">
                  <c:v>0.555424460979276</c:v>
                </c:pt>
                <c:pt idx="56">
                  <c:v>0.94658630945725297</c:v>
                </c:pt>
                <c:pt idx="57">
                  <c:v>0.79778119507908596</c:v>
                </c:pt>
                <c:pt idx="58">
                  <c:v>0.65138817627273304</c:v>
                </c:pt>
                <c:pt idx="59">
                  <c:v>0.83865087306943398</c:v>
                </c:pt>
                <c:pt idx="60">
                  <c:v>0.66528480496164499</c:v>
                </c:pt>
                <c:pt idx="61">
                  <c:v>0.35428369407235699</c:v>
                </c:pt>
                <c:pt idx="62">
                  <c:v>1</c:v>
                </c:pt>
                <c:pt idx="63">
                  <c:v>1</c:v>
                </c:pt>
                <c:pt idx="64">
                  <c:v>0.42610503282275702</c:v>
                </c:pt>
                <c:pt idx="65">
                  <c:v>0.73655219898442204</c:v>
                </c:pt>
                <c:pt idx="66">
                  <c:v>0.66375733734902698</c:v>
                </c:pt>
                <c:pt idx="67">
                  <c:v>1</c:v>
                </c:pt>
                <c:pt idx="68">
                  <c:v>1</c:v>
                </c:pt>
                <c:pt idx="69">
                  <c:v>0.58763184510908795</c:v>
                </c:pt>
                <c:pt idx="70">
                  <c:v>0.219600934472062</c:v>
                </c:pt>
                <c:pt idx="71">
                  <c:v>0.87841213666762097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63-4D51-90D5-7552FC695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913614"/>
        <c:axId val="91109544"/>
      </c:lineChart>
      <c:catAx>
        <c:axId val="87913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09544"/>
        <c:crosses val="autoZero"/>
        <c:auto val="1"/>
        <c:lblAlgn val="ctr"/>
        <c:lblOffset val="100"/>
        <c:noMultiLvlLbl val="0"/>
      </c:catAx>
      <c:valAx>
        <c:axId val="91109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Collection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9136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'Vehicle &amp; Repair Analysis'!$C$2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19F-401A-814E-D391C0543CC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19F-401A-814E-D391C0543CC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19F-401A-814E-D391C0543CC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19F-401A-814E-D391C0543CC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19F-401A-814E-D391C0543CC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19F-401A-814E-D391C0543CC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19F-401A-814E-D391C0543CC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19F-401A-814E-D391C0543CC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19F-401A-814E-D391C0543CC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19F-401A-814E-D391C0543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'Vehicle &amp; Repair Analysis'!$A$3:$A$7</c:f>
              <c:strCache>
                <c:ptCount val="5"/>
                <c:pt idx="0">
                  <c:v>Bus</c:v>
                </c:pt>
                <c:pt idx="1">
                  <c:v>Container</c:v>
                </c:pt>
                <c:pt idx="2">
                  <c:v>Tanker</c:v>
                </c:pt>
                <c:pt idx="3">
                  <c:v>Tipper</c:v>
                </c:pt>
                <c:pt idx="4">
                  <c:v>Truck</c:v>
                </c:pt>
              </c:strCache>
            </c:strRef>
          </c:cat>
          <c:val>
            <c:numRef>
              <c:f>'Vehicle &amp; Repair Analysis'!$C$3:$C$7</c:f>
              <c:numCache>
                <c:formatCode>\₹#,##0</c:formatCode>
                <c:ptCount val="5"/>
                <c:pt idx="0">
                  <c:v>667718</c:v>
                </c:pt>
                <c:pt idx="1">
                  <c:v>793808</c:v>
                </c:pt>
                <c:pt idx="2">
                  <c:v>721358</c:v>
                </c:pt>
                <c:pt idx="3">
                  <c:v>780076</c:v>
                </c:pt>
                <c:pt idx="4">
                  <c:v>810834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9F-401A-814E-D391C0543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Repair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'Vehicle &amp; Repair Analysis'!$I$2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'Vehicle &amp; Repair Analysis'!$G$3:$G$9</c:f>
              <c:strCache>
                <c:ptCount val="7"/>
                <c:pt idx="0">
                  <c:v>Electrical Fix</c:v>
                </c:pt>
                <c:pt idx="1">
                  <c:v>AC Repair</c:v>
                </c:pt>
                <c:pt idx="2">
                  <c:v>Brake Repair</c:v>
                </c:pt>
                <c:pt idx="3">
                  <c:v>Oil Service</c:v>
                </c:pt>
                <c:pt idx="4">
                  <c:v>Engine Overhaul</c:v>
                </c:pt>
                <c:pt idx="5">
                  <c:v>Body Work</c:v>
                </c:pt>
                <c:pt idx="6">
                  <c:v>Tyre Change</c:v>
                </c:pt>
              </c:strCache>
            </c:strRef>
          </c:cat>
          <c:val>
            <c:numRef>
              <c:f>'Vehicle &amp; Repair Analysis'!$I$3:$I$9</c:f>
              <c:numCache>
                <c:formatCode>\₹#,##0</c:formatCode>
                <c:ptCount val="7"/>
                <c:pt idx="0">
                  <c:v>693395</c:v>
                </c:pt>
                <c:pt idx="1">
                  <c:v>551372</c:v>
                </c:pt>
                <c:pt idx="2">
                  <c:v>548546</c:v>
                </c:pt>
                <c:pt idx="3">
                  <c:v>517457</c:v>
                </c:pt>
                <c:pt idx="4">
                  <c:v>508567</c:v>
                </c:pt>
                <c:pt idx="5">
                  <c:v>503627</c:v>
                </c:pt>
                <c:pt idx="6">
                  <c:v>450830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8-4AF8-87FE-4712DE1FE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816813"/>
        <c:axId val="29528159"/>
      </c:barChart>
      <c:catAx>
        <c:axId val="928168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28159"/>
        <c:crosses val="autoZero"/>
        <c:auto val="1"/>
        <c:lblAlgn val="ctr"/>
        <c:lblOffset val="100"/>
        <c:noMultiLvlLbl val="0"/>
      </c:catAx>
      <c:valAx>
        <c:axId val="295281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16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4178</xdr:colOff>
      <xdr:row>25</xdr:row>
      <xdr:rowOff>97057</xdr:rowOff>
    </xdr:from>
    <xdr:to>
      <xdr:col>22</xdr:col>
      <xdr:colOff>18643</xdr:colOff>
      <xdr:row>48</xdr:row>
      <xdr:rowOff>43057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</xdr:colOff>
      <xdr:row>2</xdr:row>
      <xdr:rowOff>54428</xdr:rowOff>
    </xdr:from>
    <xdr:to>
      <xdr:col>21</xdr:col>
      <xdr:colOff>581760</xdr:colOff>
      <xdr:row>24</xdr:row>
      <xdr:rowOff>183311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4</xdr:col>
      <xdr:colOff>120960</xdr:colOff>
      <xdr:row>35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0</xdr:rowOff>
    </xdr:from>
    <xdr:to>
      <xdr:col>10</xdr:col>
      <xdr:colOff>840960</xdr:colOff>
      <xdr:row>35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utoRepair_Dashboard.xlsx" TargetMode="External"/><Relationship Id="rId2" Type="http://schemas.openxmlformats.org/officeDocument/2006/relationships/hyperlink" Target="AutoRepair_Dashboard.xlsx" TargetMode="External"/><Relationship Id="rId1" Type="http://schemas.openxmlformats.org/officeDocument/2006/relationships/hyperlink" Target="AutoRepair_Dashboard.xlsx" TargetMode="External"/><Relationship Id="rId4" Type="http://schemas.openxmlformats.org/officeDocument/2006/relationships/hyperlink" Target="AutoRepair_Dashboard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16"/>
  <sheetViews>
    <sheetView topLeftCell="A2" zoomScaleNormal="100" workbookViewId="0">
      <selection activeCell="J16" sqref="J16:L16"/>
    </sheetView>
  </sheetViews>
  <sheetFormatPr defaultColWidth="8.6640625" defaultRowHeight="14.4" x14ac:dyDescent="0.3"/>
  <cols>
    <col min="1" max="12" width="14" customWidth="1"/>
  </cols>
  <sheetData>
    <row r="1" spans="1:12" ht="39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21.7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8" customHeight="1" x14ac:dyDescent="0.3">
      <c r="A5" s="11" t="s">
        <v>3</v>
      </c>
      <c r="B5" s="11"/>
      <c r="C5" s="10" t="s">
        <v>4</v>
      </c>
      <c r="D5" s="10"/>
      <c r="E5" s="9" t="s">
        <v>5</v>
      </c>
      <c r="F5" s="9"/>
      <c r="G5" s="8" t="s">
        <v>6</v>
      </c>
      <c r="H5" s="8"/>
      <c r="I5" s="7" t="s">
        <v>7</v>
      </c>
      <c r="J5" s="7"/>
      <c r="K5" s="9" t="s">
        <v>8</v>
      </c>
      <c r="L5" s="9"/>
    </row>
    <row r="6" spans="1:12" ht="34.5" customHeight="1" x14ac:dyDescent="0.3">
      <c r="A6" s="6">
        <v>300</v>
      </c>
      <c r="B6" s="6"/>
      <c r="C6" s="5">
        <v>3773794</v>
      </c>
      <c r="D6" s="5"/>
      <c r="E6" s="4">
        <v>2990449</v>
      </c>
      <c r="F6" s="4"/>
      <c r="G6" s="3">
        <v>783345</v>
      </c>
      <c r="H6" s="3"/>
      <c r="I6" s="2">
        <v>12579.313333333301</v>
      </c>
      <c r="J6" s="2"/>
      <c r="K6" s="1">
        <v>0.79242507672649898</v>
      </c>
      <c r="L6" s="1"/>
    </row>
    <row r="8" spans="1:12" ht="21.75" customHeight="1" x14ac:dyDescent="0.3">
      <c r="A8" s="12" t="s">
        <v>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18" customHeight="1" x14ac:dyDescent="0.3">
      <c r="A9" s="43" t="s">
        <v>10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ht="18" customHeight="1" x14ac:dyDescent="0.3">
      <c r="A10" s="44" t="s">
        <v>11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 ht="18" customHeight="1" x14ac:dyDescent="0.3">
      <c r="A11" s="43" t="s">
        <v>12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ht="18" customHeight="1" x14ac:dyDescent="0.3">
      <c r="A12" s="44" t="s">
        <v>13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3" spans="1:12" ht="18" customHeight="1" x14ac:dyDescent="0.3">
      <c r="A13" s="43" t="s">
        <v>14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5" spans="1:12" ht="19.5" customHeight="1" x14ac:dyDescent="0.3">
      <c r="A15" s="45" t="s">
        <v>15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</row>
    <row r="16" spans="1:12" ht="21.75" customHeight="1" x14ac:dyDescent="0.3">
      <c r="A16" s="46" t="s">
        <v>16</v>
      </c>
      <c r="B16" s="46"/>
      <c r="C16" s="46"/>
      <c r="D16" s="46" t="s">
        <v>17</v>
      </c>
      <c r="E16" s="46"/>
      <c r="F16" s="46"/>
      <c r="G16" s="46" t="s">
        <v>18</v>
      </c>
      <c r="H16" s="46"/>
      <c r="I16" s="46"/>
      <c r="J16" s="46" t="s">
        <v>19</v>
      </c>
      <c r="K16" s="46"/>
      <c r="L16" s="46"/>
    </row>
  </sheetData>
  <mergeCells count="26">
    <mergeCell ref="A12:L12"/>
    <mergeCell ref="A13:L13"/>
    <mergeCell ref="A15:L15"/>
    <mergeCell ref="A16:C16"/>
    <mergeCell ref="D16:F16"/>
    <mergeCell ref="G16:I16"/>
    <mergeCell ref="J16:L16"/>
    <mergeCell ref="K6:L6"/>
    <mergeCell ref="A8:L8"/>
    <mergeCell ref="A9:L9"/>
    <mergeCell ref="A10:L10"/>
    <mergeCell ref="A11:L11"/>
    <mergeCell ref="A6:B6"/>
    <mergeCell ref="C6:D6"/>
    <mergeCell ref="E6:F6"/>
    <mergeCell ref="G6:H6"/>
    <mergeCell ref="I6:J6"/>
    <mergeCell ref="A1:L1"/>
    <mergeCell ref="A2:L2"/>
    <mergeCell ref="A4:L4"/>
    <mergeCell ref="A5:B5"/>
    <mergeCell ref="C5:D5"/>
    <mergeCell ref="E5:F5"/>
    <mergeCell ref="G5:H5"/>
    <mergeCell ref="I5:J5"/>
    <mergeCell ref="K5:L5"/>
  </mergeCells>
  <hyperlinks>
    <hyperlink ref="A16" r:id="rId1" location="Raw%20Data!A1" xr:uid="{00000000-0004-0000-0000-000000000000}"/>
    <hyperlink ref="D16" r:id="rId2" location="Monthly%20Summary!A1" xr:uid="{00000000-0004-0000-0000-000001000000}"/>
    <hyperlink ref="G16" r:id="rId3" location="Vehicle%20&amp;%20Repair%20Analysis!A1" xr:uid="{00000000-0004-0000-0000-000002000000}"/>
    <hyperlink ref="J16" r:id="rId4" location="Payment%20&amp;%20Collection!A1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A1:L301"/>
  <sheetViews>
    <sheetView tabSelected="1" zoomScaleNormal="100" workbookViewId="0">
      <pane ySplit="1" topLeftCell="A2" activePane="bottomLeft" state="frozen"/>
      <selection pane="bottomLeft" activeCell="F10" sqref="F10"/>
    </sheetView>
  </sheetViews>
  <sheetFormatPr defaultColWidth="8.6640625" defaultRowHeight="14.4" x14ac:dyDescent="0.3"/>
  <cols>
    <col min="1" max="12" width="18" customWidth="1"/>
  </cols>
  <sheetData>
    <row r="1" spans="1:12" x14ac:dyDescent="0.3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</row>
    <row r="2" spans="1:12" x14ac:dyDescent="0.3">
      <c r="A2" s="16" t="s">
        <v>32</v>
      </c>
      <c r="B2" s="17">
        <v>41664</v>
      </c>
      <c r="C2" s="16" t="s">
        <v>33</v>
      </c>
      <c r="D2" s="16" t="s">
        <v>470</v>
      </c>
      <c r="E2" s="16" t="s">
        <v>35</v>
      </c>
      <c r="F2" s="18">
        <v>6972</v>
      </c>
      <c r="G2" s="18">
        <v>6889</v>
      </c>
      <c r="H2" s="18">
        <v>13861</v>
      </c>
      <c r="I2" s="18">
        <v>4409</v>
      </c>
      <c r="J2" s="16" t="s">
        <v>36</v>
      </c>
      <c r="K2" s="16" t="s">
        <v>37</v>
      </c>
      <c r="L2" s="16"/>
    </row>
    <row r="3" spans="1:12" x14ac:dyDescent="0.3">
      <c r="A3" s="19" t="s">
        <v>38</v>
      </c>
      <c r="B3" s="20">
        <v>41671</v>
      </c>
      <c r="C3" s="19" t="s">
        <v>39</v>
      </c>
      <c r="D3" s="19" t="s">
        <v>40</v>
      </c>
      <c r="E3" s="19" t="s">
        <v>41</v>
      </c>
      <c r="F3" s="21">
        <v>4327</v>
      </c>
      <c r="G3" s="21">
        <v>3378</v>
      </c>
      <c r="H3" s="21">
        <v>7705</v>
      </c>
      <c r="I3" s="21">
        <v>7705</v>
      </c>
      <c r="J3" s="19" t="s">
        <v>36</v>
      </c>
      <c r="K3" s="19" t="s">
        <v>42</v>
      </c>
      <c r="L3" s="19">
        <v>12</v>
      </c>
    </row>
    <row r="4" spans="1:12" x14ac:dyDescent="0.3">
      <c r="A4" s="16" t="s">
        <v>43</v>
      </c>
      <c r="B4" s="17">
        <v>41673</v>
      </c>
      <c r="C4" s="16" t="s">
        <v>468</v>
      </c>
      <c r="D4" s="16" t="s">
        <v>45</v>
      </c>
      <c r="E4" s="16" t="s">
        <v>46</v>
      </c>
      <c r="F4" s="18">
        <v>6418</v>
      </c>
      <c r="G4" s="18">
        <v>13251</v>
      </c>
      <c r="H4" s="18">
        <v>19669</v>
      </c>
      <c r="I4" s="18">
        <v>19669</v>
      </c>
      <c r="J4" s="16" t="s">
        <v>47</v>
      </c>
      <c r="K4" s="16" t="s">
        <v>42</v>
      </c>
      <c r="L4" s="16">
        <v>29</v>
      </c>
    </row>
    <row r="5" spans="1:12" x14ac:dyDescent="0.3">
      <c r="A5" s="19" t="s">
        <v>48</v>
      </c>
      <c r="B5" s="20">
        <v>41677</v>
      </c>
      <c r="C5" s="19" t="s">
        <v>33</v>
      </c>
      <c r="D5" s="19" t="s">
        <v>49</v>
      </c>
      <c r="E5" s="19" t="s">
        <v>50</v>
      </c>
      <c r="F5" s="21">
        <v>5737</v>
      </c>
      <c r="G5" s="21">
        <v>2258</v>
      </c>
      <c r="H5" s="21">
        <v>7995</v>
      </c>
      <c r="I5" s="21">
        <v>7995</v>
      </c>
      <c r="J5" s="19" t="s">
        <v>47</v>
      </c>
      <c r="K5" s="19" t="s">
        <v>42</v>
      </c>
      <c r="L5" s="19">
        <v>9</v>
      </c>
    </row>
    <row r="6" spans="1:12" x14ac:dyDescent="0.3">
      <c r="A6" s="16" t="s">
        <v>51</v>
      </c>
      <c r="B6" s="17">
        <v>41690</v>
      </c>
      <c r="C6" s="16" t="s">
        <v>468</v>
      </c>
      <c r="D6" s="16" t="s">
        <v>470</v>
      </c>
      <c r="E6" s="16" t="s">
        <v>52</v>
      </c>
      <c r="F6" s="18">
        <v>4645</v>
      </c>
      <c r="G6" s="18">
        <v>8343</v>
      </c>
      <c r="H6" s="18">
        <v>12988</v>
      </c>
      <c r="I6" s="18">
        <v>2791</v>
      </c>
      <c r="J6" s="16" t="s">
        <v>36</v>
      </c>
      <c r="K6" s="16" t="s">
        <v>37</v>
      </c>
      <c r="L6" s="16"/>
    </row>
    <row r="7" spans="1:12" x14ac:dyDescent="0.3">
      <c r="A7" s="19" t="s">
        <v>53</v>
      </c>
      <c r="B7" s="20">
        <v>41700</v>
      </c>
      <c r="C7" s="19" t="s">
        <v>54</v>
      </c>
      <c r="D7" s="19" t="s">
        <v>45</v>
      </c>
      <c r="E7" s="19" t="s">
        <v>35</v>
      </c>
      <c r="F7" s="21">
        <v>7752</v>
      </c>
      <c r="G7" s="21">
        <v>4372</v>
      </c>
      <c r="H7" s="21">
        <v>12124</v>
      </c>
      <c r="I7" s="21">
        <v>12124</v>
      </c>
      <c r="J7" s="19" t="s">
        <v>47</v>
      </c>
      <c r="K7" s="19" t="s">
        <v>42</v>
      </c>
      <c r="L7" s="19">
        <v>13</v>
      </c>
    </row>
    <row r="8" spans="1:12" x14ac:dyDescent="0.3">
      <c r="A8" s="16" t="s">
        <v>55</v>
      </c>
      <c r="B8" s="17">
        <v>41723</v>
      </c>
      <c r="C8" s="16" t="s">
        <v>468</v>
      </c>
      <c r="D8" s="16" t="s">
        <v>56</v>
      </c>
      <c r="E8" s="16" t="s">
        <v>35</v>
      </c>
      <c r="F8" s="18">
        <v>2754</v>
      </c>
      <c r="G8" s="18">
        <v>2568</v>
      </c>
      <c r="H8" s="18">
        <v>5322</v>
      </c>
      <c r="I8" s="18">
        <v>468</v>
      </c>
      <c r="J8" s="16" t="s">
        <v>36</v>
      </c>
      <c r="K8" s="16" t="s">
        <v>37</v>
      </c>
      <c r="L8" s="16"/>
    </row>
    <row r="9" spans="1:12" x14ac:dyDescent="0.3">
      <c r="A9" s="19" t="s">
        <v>57</v>
      </c>
      <c r="B9" s="20">
        <v>41736</v>
      </c>
      <c r="C9" s="19" t="s">
        <v>58</v>
      </c>
      <c r="D9" s="19" t="s">
        <v>59</v>
      </c>
      <c r="E9" s="19" t="s">
        <v>60</v>
      </c>
      <c r="F9" s="21">
        <v>3489</v>
      </c>
      <c r="G9" s="21">
        <v>5064</v>
      </c>
      <c r="H9" s="21">
        <v>8553</v>
      </c>
      <c r="I9" s="21">
        <v>8553</v>
      </c>
      <c r="J9" s="19" t="s">
        <v>61</v>
      </c>
      <c r="K9" s="19" t="s">
        <v>42</v>
      </c>
      <c r="L9" s="19">
        <v>30</v>
      </c>
    </row>
    <row r="10" spans="1:12" x14ac:dyDescent="0.3">
      <c r="A10" s="16" t="s">
        <v>62</v>
      </c>
      <c r="B10" s="17">
        <v>41748</v>
      </c>
      <c r="C10" s="16" t="s">
        <v>468</v>
      </c>
      <c r="D10" s="16" t="s">
        <v>56</v>
      </c>
      <c r="E10" s="16" t="s">
        <v>41</v>
      </c>
      <c r="F10" s="18">
        <v>6665</v>
      </c>
      <c r="G10" s="18">
        <v>11147</v>
      </c>
      <c r="H10" s="18">
        <v>17812</v>
      </c>
      <c r="I10" s="18">
        <v>3611</v>
      </c>
      <c r="J10" s="16" t="s">
        <v>47</v>
      </c>
      <c r="K10" s="16" t="s">
        <v>37</v>
      </c>
      <c r="L10" s="16"/>
    </row>
    <row r="11" spans="1:12" x14ac:dyDescent="0.3">
      <c r="A11" s="19" t="s">
        <v>63</v>
      </c>
      <c r="B11" s="20">
        <v>41751</v>
      </c>
      <c r="C11" s="19" t="s">
        <v>54</v>
      </c>
      <c r="D11" s="19" t="s">
        <v>40</v>
      </c>
      <c r="E11" s="19" t="s">
        <v>60</v>
      </c>
      <c r="F11" s="21">
        <v>4311</v>
      </c>
      <c r="G11" s="21">
        <v>2723</v>
      </c>
      <c r="H11" s="21">
        <v>7034</v>
      </c>
      <c r="I11" s="21">
        <v>744</v>
      </c>
      <c r="J11" s="19" t="s">
        <v>64</v>
      </c>
      <c r="K11" s="19" t="s">
        <v>37</v>
      </c>
      <c r="L11" s="19"/>
    </row>
    <row r="12" spans="1:12" x14ac:dyDescent="0.3">
      <c r="A12" s="16" t="s">
        <v>65</v>
      </c>
      <c r="B12" s="17">
        <v>41767</v>
      </c>
      <c r="C12" s="16" t="s">
        <v>54</v>
      </c>
      <c r="D12" s="16" t="s">
        <v>59</v>
      </c>
      <c r="E12" s="16" t="s">
        <v>35</v>
      </c>
      <c r="F12" s="18">
        <v>7741</v>
      </c>
      <c r="G12" s="18">
        <v>7080</v>
      </c>
      <c r="H12" s="18">
        <v>14821</v>
      </c>
      <c r="I12" s="18">
        <v>5620</v>
      </c>
      <c r="J12" s="16" t="s">
        <v>64</v>
      </c>
      <c r="K12" s="16" t="s">
        <v>37</v>
      </c>
      <c r="L12" s="16"/>
    </row>
    <row r="13" spans="1:12" x14ac:dyDescent="0.3">
      <c r="A13" s="19" t="s">
        <v>66</v>
      </c>
      <c r="B13" s="20">
        <v>41789</v>
      </c>
      <c r="C13" s="19" t="s">
        <v>58</v>
      </c>
      <c r="D13" s="19" t="s">
        <v>470</v>
      </c>
      <c r="E13" s="19" t="s">
        <v>60</v>
      </c>
      <c r="F13" s="21">
        <v>3724</v>
      </c>
      <c r="G13" s="21">
        <v>14625</v>
      </c>
      <c r="H13" s="21">
        <v>18349</v>
      </c>
      <c r="I13" s="21">
        <v>18349</v>
      </c>
      <c r="J13" s="19" t="s">
        <v>61</v>
      </c>
      <c r="K13" s="19" t="s">
        <v>42</v>
      </c>
      <c r="L13" s="19">
        <v>27</v>
      </c>
    </row>
    <row r="14" spans="1:12" x14ac:dyDescent="0.3">
      <c r="A14" s="16" t="s">
        <v>67</v>
      </c>
      <c r="B14" s="17">
        <v>41790</v>
      </c>
      <c r="C14" s="16" t="s">
        <v>39</v>
      </c>
      <c r="D14" s="16" t="s">
        <v>68</v>
      </c>
      <c r="E14" s="16" t="s">
        <v>46</v>
      </c>
      <c r="F14" s="18">
        <v>3376</v>
      </c>
      <c r="G14" s="18">
        <v>4635</v>
      </c>
      <c r="H14" s="18">
        <v>8011</v>
      </c>
      <c r="I14" s="18">
        <v>8011</v>
      </c>
      <c r="J14" s="16" t="s">
        <v>47</v>
      </c>
      <c r="K14" s="16" t="s">
        <v>42</v>
      </c>
      <c r="L14" s="16">
        <v>3</v>
      </c>
    </row>
    <row r="15" spans="1:12" x14ac:dyDescent="0.3">
      <c r="A15" s="19" t="s">
        <v>69</v>
      </c>
      <c r="B15" s="20">
        <v>41791</v>
      </c>
      <c r="C15" s="19" t="s">
        <v>58</v>
      </c>
      <c r="D15" s="19" t="s">
        <v>49</v>
      </c>
      <c r="E15" s="19" t="s">
        <v>52</v>
      </c>
      <c r="F15" s="21">
        <v>5634</v>
      </c>
      <c r="G15" s="21">
        <v>5939</v>
      </c>
      <c r="H15" s="21">
        <v>11573</v>
      </c>
      <c r="I15" s="21">
        <v>11573</v>
      </c>
      <c r="J15" s="19" t="s">
        <v>47</v>
      </c>
      <c r="K15" s="19" t="s">
        <v>42</v>
      </c>
      <c r="L15" s="19">
        <v>27</v>
      </c>
    </row>
    <row r="16" spans="1:12" x14ac:dyDescent="0.3">
      <c r="A16" s="16" t="s">
        <v>70</v>
      </c>
      <c r="B16" s="17">
        <v>41804</v>
      </c>
      <c r="C16" s="16" t="s">
        <v>58</v>
      </c>
      <c r="D16" s="16" t="s">
        <v>59</v>
      </c>
      <c r="E16" s="16" t="s">
        <v>71</v>
      </c>
      <c r="F16" s="18">
        <v>5051</v>
      </c>
      <c r="G16" s="18">
        <v>11174</v>
      </c>
      <c r="H16" s="18">
        <v>16225</v>
      </c>
      <c r="I16" s="18">
        <v>7504</v>
      </c>
      <c r="J16" s="16" t="s">
        <v>61</v>
      </c>
      <c r="K16" s="16" t="s">
        <v>37</v>
      </c>
      <c r="L16" s="16"/>
    </row>
    <row r="17" spans="1:12" x14ac:dyDescent="0.3">
      <c r="A17" s="19" t="s">
        <v>72</v>
      </c>
      <c r="B17" s="20">
        <v>41808</v>
      </c>
      <c r="C17" s="19" t="s">
        <v>39</v>
      </c>
      <c r="D17" s="19" t="s">
        <v>45</v>
      </c>
      <c r="E17" s="19" t="s">
        <v>41</v>
      </c>
      <c r="F17" s="21">
        <v>5483</v>
      </c>
      <c r="G17" s="21">
        <v>11179</v>
      </c>
      <c r="H17" s="21">
        <v>16662</v>
      </c>
      <c r="I17" s="21">
        <v>16662</v>
      </c>
      <c r="J17" s="19" t="s">
        <v>47</v>
      </c>
      <c r="K17" s="19" t="s">
        <v>42</v>
      </c>
      <c r="L17" s="19">
        <v>10</v>
      </c>
    </row>
    <row r="18" spans="1:12" x14ac:dyDescent="0.3">
      <c r="A18" s="16" t="s">
        <v>73</v>
      </c>
      <c r="B18" s="17">
        <v>41808</v>
      </c>
      <c r="C18" s="16" t="s">
        <v>54</v>
      </c>
      <c r="D18" s="16" t="s">
        <v>68</v>
      </c>
      <c r="E18" s="16" t="s">
        <v>46</v>
      </c>
      <c r="F18" s="18">
        <v>1172</v>
      </c>
      <c r="G18" s="18">
        <v>11009</v>
      </c>
      <c r="H18" s="18">
        <v>12181</v>
      </c>
      <c r="I18" s="18">
        <v>12181</v>
      </c>
      <c r="J18" s="16" t="s">
        <v>36</v>
      </c>
      <c r="K18" s="16" t="s">
        <v>42</v>
      </c>
      <c r="L18" s="16">
        <v>20</v>
      </c>
    </row>
    <row r="19" spans="1:12" x14ac:dyDescent="0.3">
      <c r="A19" s="19" t="s">
        <v>74</v>
      </c>
      <c r="B19" s="20">
        <v>41821</v>
      </c>
      <c r="C19" s="19" t="s">
        <v>39</v>
      </c>
      <c r="D19" s="19" t="s">
        <v>68</v>
      </c>
      <c r="E19" s="19" t="s">
        <v>52</v>
      </c>
      <c r="F19" s="21">
        <v>5059</v>
      </c>
      <c r="G19" s="21">
        <v>13713</v>
      </c>
      <c r="H19" s="21">
        <v>18772</v>
      </c>
      <c r="I19" s="21">
        <v>18772</v>
      </c>
      <c r="J19" s="19" t="s">
        <v>47</v>
      </c>
      <c r="K19" s="19" t="s">
        <v>42</v>
      </c>
      <c r="L19" s="19">
        <v>11</v>
      </c>
    </row>
    <row r="20" spans="1:12" x14ac:dyDescent="0.3">
      <c r="A20" s="16" t="s">
        <v>75</v>
      </c>
      <c r="B20" s="17">
        <v>41825</v>
      </c>
      <c r="C20" s="16" t="s">
        <v>39</v>
      </c>
      <c r="D20" s="16" t="s">
        <v>68</v>
      </c>
      <c r="E20" s="16" t="s">
        <v>52</v>
      </c>
      <c r="F20" s="18">
        <v>5471</v>
      </c>
      <c r="G20" s="18">
        <v>9704</v>
      </c>
      <c r="H20" s="18">
        <v>15175</v>
      </c>
      <c r="I20" s="18">
        <v>15175</v>
      </c>
      <c r="J20" s="16" t="s">
        <v>61</v>
      </c>
      <c r="K20" s="16" t="s">
        <v>42</v>
      </c>
      <c r="L20" s="16">
        <v>11</v>
      </c>
    </row>
    <row r="21" spans="1:12" x14ac:dyDescent="0.3">
      <c r="A21" s="19" t="s">
        <v>76</v>
      </c>
      <c r="B21" s="20">
        <v>41826</v>
      </c>
      <c r="C21" s="19" t="s">
        <v>54</v>
      </c>
      <c r="D21" s="19" t="s">
        <v>49</v>
      </c>
      <c r="E21" s="19" t="s">
        <v>52</v>
      </c>
      <c r="F21" s="21">
        <v>3193</v>
      </c>
      <c r="G21" s="21">
        <v>11926</v>
      </c>
      <c r="H21" s="21">
        <v>15119</v>
      </c>
      <c r="I21" s="21">
        <v>15119</v>
      </c>
      <c r="J21" s="19" t="s">
        <v>47</v>
      </c>
      <c r="K21" s="19" t="s">
        <v>42</v>
      </c>
      <c r="L21" s="19">
        <v>20</v>
      </c>
    </row>
    <row r="22" spans="1:12" x14ac:dyDescent="0.3">
      <c r="A22" s="16" t="s">
        <v>77</v>
      </c>
      <c r="B22" s="17">
        <v>41843</v>
      </c>
      <c r="C22" s="16" t="s">
        <v>54</v>
      </c>
      <c r="D22" s="16" t="s">
        <v>470</v>
      </c>
      <c r="E22" s="16" t="s">
        <v>35</v>
      </c>
      <c r="F22" s="18">
        <v>4429</v>
      </c>
      <c r="G22" s="18">
        <v>11345</v>
      </c>
      <c r="H22" s="18">
        <v>15774</v>
      </c>
      <c r="I22" s="18">
        <v>3978</v>
      </c>
      <c r="J22" s="16" t="s">
        <v>47</v>
      </c>
      <c r="K22" s="16" t="s">
        <v>37</v>
      </c>
      <c r="L22" s="16"/>
    </row>
    <row r="23" spans="1:12" x14ac:dyDescent="0.3">
      <c r="A23" s="19" t="s">
        <v>78</v>
      </c>
      <c r="B23" s="20">
        <v>41845</v>
      </c>
      <c r="C23" s="19" t="s">
        <v>468</v>
      </c>
      <c r="D23" s="19" t="s">
        <v>59</v>
      </c>
      <c r="E23" s="19" t="s">
        <v>46</v>
      </c>
      <c r="F23" s="21">
        <v>4919</v>
      </c>
      <c r="G23" s="21">
        <v>14470</v>
      </c>
      <c r="H23" s="21">
        <v>19389</v>
      </c>
      <c r="I23" s="21">
        <v>19389</v>
      </c>
      <c r="J23" s="19" t="s">
        <v>64</v>
      </c>
      <c r="K23" s="19" t="s">
        <v>42</v>
      </c>
      <c r="L23" s="19">
        <v>1</v>
      </c>
    </row>
    <row r="24" spans="1:12" x14ac:dyDescent="0.3">
      <c r="A24" s="16" t="s">
        <v>79</v>
      </c>
      <c r="B24" s="17">
        <v>41847</v>
      </c>
      <c r="C24" s="16" t="s">
        <v>468</v>
      </c>
      <c r="D24" s="16" t="s">
        <v>56</v>
      </c>
      <c r="E24" s="16" t="s">
        <v>60</v>
      </c>
      <c r="F24" s="18">
        <v>6026</v>
      </c>
      <c r="G24" s="18">
        <v>4314</v>
      </c>
      <c r="H24" s="18">
        <v>10340</v>
      </c>
      <c r="I24" s="18">
        <v>10340</v>
      </c>
      <c r="J24" s="16" t="s">
        <v>47</v>
      </c>
      <c r="K24" s="16" t="s">
        <v>42</v>
      </c>
      <c r="L24" s="16">
        <v>3</v>
      </c>
    </row>
    <row r="25" spans="1:12" x14ac:dyDescent="0.3">
      <c r="A25" s="19" t="s">
        <v>80</v>
      </c>
      <c r="B25" s="20">
        <v>41848</v>
      </c>
      <c r="C25" s="19" t="s">
        <v>54</v>
      </c>
      <c r="D25" s="19" t="s">
        <v>40</v>
      </c>
      <c r="E25" s="19" t="s">
        <v>60</v>
      </c>
      <c r="F25" s="21">
        <v>4269</v>
      </c>
      <c r="G25" s="21">
        <v>14088</v>
      </c>
      <c r="H25" s="21">
        <v>18357</v>
      </c>
      <c r="I25" s="21">
        <v>18357</v>
      </c>
      <c r="J25" s="19" t="s">
        <v>64</v>
      </c>
      <c r="K25" s="19" t="s">
        <v>42</v>
      </c>
      <c r="L25" s="19">
        <v>1</v>
      </c>
    </row>
    <row r="26" spans="1:12" x14ac:dyDescent="0.3">
      <c r="A26" s="16" t="s">
        <v>81</v>
      </c>
      <c r="B26" s="17">
        <v>41859</v>
      </c>
      <c r="C26" s="16" t="s">
        <v>58</v>
      </c>
      <c r="D26" s="16" t="s">
        <v>56</v>
      </c>
      <c r="E26" s="16" t="s">
        <v>52</v>
      </c>
      <c r="F26" s="18">
        <v>7444</v>
      </c>
      <c r="G26" s="18">
        <v>9721</v>
      </c>
      <c r="H26" s="18">
        <v>17165</v>
      </c>
      <c r="I26" s="18">
        <v>17165</v>
      </c>
      <c r="J26" s="16" t="s">
        <v>36</v>
      </c>
      <c r="K26" s="16" t="s">
        <v>42</v>
      </c>
      <c r="L26" s="16">
        <v>2</v>
      </c>
    </row>
    <row r="27" spans="1:12" x14ac:dyDescent="0.3">
      <c r="A27" s="19" t="s">
        <v>82</v>
      </c>
      <c r="B27" s="20">
        <v>41870</v>
      </c>
      <c r="C27" s="19" t="s">
        <v>33</v>
      </c>
      <c r="D27" s="19" t="s">
        <v>49</v>
      </c>
      <c r="E27" s="19" t="s">
        <v>52</v>
      </c>
      <c r="F27" s="21">
        <v>1407</v>
      </c>
      <c r="G27" s="21">
        <v>5585</v>
      </c>
      <c r="H27" s="21">
        <v>6992</v>
      </c>
      <c r="I27" s="21">
        <v>1851</v>
      </c>
      <c r="J27" s="19" t="s">
        <v>64</v>
      </c>
      <c r="K27" s="19" t="s">
        <v>37</v>
      </c>
      <c r="L27" s="19"/>
    </row>
    <row r="28" spans="1:12" x14ac:dyDescent="0.3">
      <c r="A28" s="16" t="s">
        <v>83</v>
      </c>
      <c r="B28" s="17">
        <v>41874</v>
      </c>
      <c r="C28" s="16" t="s">
        <v>54</v>
      </c>
      <c r="D28" s="16" t="s">
        <v>40</v>
      </c>
      <c r="E28" s="16" t="s">
        <v>52</v>
      </c>
      <c r="F28" s="18">
        <v>6022</v>
      </c>
      <c r="G28" s="18">
        <v>7155</v>
      </c>
      <c r="H28" s="18">
        <v>13177</v>
      </c>
      <c r="I28" s="18">
        <v>13177</v>
      </c>
      <c r="J28" s="16" t="s">
        <v>36</v>
      </c>
      <c r="K28" s="16" t="s">
        <v>42</v>
      </c>
      <c r="L28" s="16">
        <v>16</v>
      </c>
    </row>
    <row r="29" spans="1:12" x14ac:dyDescent="0.3">
      <c r="A29" s="19" t="s">
        <v>84</v>
      </c>
      <c r="B29" s="20">
        <v>41876</v>
      </c>
      <c r="C29" s="19" t="s">
        <v>468</v>
      </c>
      <c r="D29" s="19" t="s">
        <v>59</v>
      </c>
      <c r="E29" s="19" t="s">
        <v>35</v>
      </c>
      <c r="F29" s="21">
        <v>6311</v>
      </c>
      <c r="G29" s="21">
        <v>13720</v>
      </c>
      <c r="H29" s="21">
        <v>20031</v>
      </c>
      <c r="I29" s="21">
        <v>20031</v>
      </c>
      <c r="J29" s="19" t="s">
        <v>64</v>
      </c>
      <c r="K29" s="19" t="s">
        <v>42</v>
      </c>
      <c r="L29" s="19">
        <v>23</v>
      </c>
    </row>
    <row r="30" spans="1:12" x14ac:dyDescent="0.3">
      <c r="A30" s="16" t="s">
        <v>85</v>
      </c>
      <c r="B30" s="17">
        <v>41882</v>
      </c>
      <c r="C30" s="16" t="s">
        <v>54</v>
      </c>
      <c r="D30" s="16" t="s">
        <v>40</v>
      </c>
      <c r="E30" s="16" t="s">
        <v>35</v>
      </c>
      <c r="F30" s="18">
        <v>5503</v>
      </c>
      <c r="G30" s="18">
        <v>4304</v>
      </c>
      <c r="H30" s="18">
        <v>9807</v>
      </c>
      <c r="I30" s="18">
        <v>9807</v>
      </c>
      <c r="J30" s="16" t="s">
        <v>36</v>
      </c>
      <c r="K30" s="16" t="s">
        <v>42</v>
      </c>
      <c r="L30" s="16">
        <v>29</v>
      </c>
    </row>
    <row r="31" spans="1:12" x14ac:dyDescent="0.3">
      <c r="A31" s="19" t="s">
        <v>86</v>
      </c>
      <c r="B31" s="20">
        <v>41901</v>
      </c>
      <c r="C31" s="19" t="s">
        <v>468</v>
      </c>
      <c r="D31" s="19" t="s">
        <v>68</v>
      </c>
      <c r="E31" s="19" t="s">
        <v>71</v>
      </c>
      <c r="F31" s="21">
        <v>1365</v>
      </c>
      <c r="G31" s="21">
        <v>8234</v>
      </c>
      <c r="H31" s="21">
        <v>9599</v>
      </c>
      <c r="I31" s="21">
        <v>9599</v>
      </c>
      <c r="J31" s="19" t="s">
        <v>47</v>
      </c>
      <c r="K31" s="19" t="s">
        <v>42</v>
      </c>
      <c r="L31" s="19">
        <v>9</v>
      </c>
    </row>
    <row r="32" spans="1:12" x14ac:dyDescent="0.3">
      <c r="A32" s="16" t="s">
        <v>87</v>
      </c>
      <c r="B32" s="17">
        <v>41905</v>
      </c>
      <c r="C32" s="16" t="s">
        <v>468</v>
      </c>
      <c r="D32" s="16" t="s">
        <v>49</v>
      </c>
      <c r="E32" s="16" t="s">
        <v>46</v>
      </c>
      <c r="F32" s="18">
        <v>3178</v>
      </c>
      <c r="G32" s="18">
        <v>5414</v>
      </c>
      <c r="H32" s="18">
        <v>8592</v>
      </c>
      <c r="I32" s="18">
        <v>8592</v>
      </c>
      <c r="J32" s="16" t="s">
        <v>36</v>
      </c>
      <c r="K32" s="16" t="s">
        <v>42</v>
      </c>
      <c r="L32" s="16">
        <v>22</v>
      </c>
    </row>
    <row r="33" spans="1:12" x14ac:dyDescent="0.3">
      <c r="A33" s="19" t="s">
        <v>88</v>
      </c>
      <c r="B33" s="20">
        <v>41920</v>
      </c>
      <c r="C33" s="19" t="s">
        <v>58</v>
      </c>
      <c r="D33" s="19" t="s">
        <v>40</v>
      </c>
      <c r="E33" s="19" t="s">
        <v>35</v>
      </c>
      <c r="F33" s="21">
        <v>6406</v>
      </c>
      <c r="G33" s="21">
        <v>5208</v>
      </c>
      <c r="H33" s="21">
        <v>11614</v>
      </c>
      <c r="I33" s="21">
        <v>11614</v>
      </c>
      <c r="J33" s="19" t="s">
        <v>64</v>
      </c>
      <c r="K33" s="19" t="s">
        <v>42</v>
      </c>
      <c r="L33" s="19">
        <v>23</v>
      </c>
    </row>
    <row r="34" spans="1:12" x14ac:dyDescent="0.3">
      <c r="A34" s="16" t="s">
        <v>89</v>
      </c>
      <c r="B34" s="17">
        <v>41930</v>
      </c>
      <c r="C34" s="16" t="s">
        <v>54</v>
      </c>
      <c r="D34" s="16" t="s">
        <v>56</v>
      </c>
      <c r="E34" s="16" t="s">
        <v>60</v>
      </c>
      <c r="F34" s="18">
        <v>1352</v>
      </c>
      <c r="G34" s="18">
        <v>1014</v>
      </c>
      <c r="H34" s="18">
        <v>2366</v>
      </c>
      <c r="I34" s="18">
        <v>2366</v>
      </c>
      <c r="J34" s="16" t="s">
        <v>36</v>
      </c>
      <c r="K34" s="16" t="s">
        <v>42</v>
      </c>
      <c r="L34" s="16">
        <v>2</v>
      </c>
    </row>
    <row r="35" spans="1:12" x14ac:dyDescent="0.3">
      <c r="A35" s="19" t="s">
        <v>90</v>
      </c>
      <c r="B35" s="20">
        <v>41942</v>
      </c>
      <c r="C35" s="19" t="s">
        <v>58</v>
      </c>
      <c r="D35" s="19" t="s">
        <v>470</v>
      </c>
      <c r="E35" s="19" t="s">
        <v>71</v>
      </c>
      <c r="F35" s="21">
        <v>6062</v>
      </c>
      <c r="G35" s="21">
        <v>1715</v>
      </c>
      <c r="H35" s="21">
        <v>7777</v>
      </c>
      <c r="I35" s="21">
        <v>1908</v>
      </c>
      <c r="J35" s="19" t="s">
        <v>61</v>
      </c>
      <c r="K35" s="19" t="s">
        <v>37</v>
      </c>
      <c r="L35" s="19"/>
    </row>
    <row r="36" spans="1:12" x14ac:dyDescent="0.3">
      <c r="A36" s="16" t="s">
        <v>91</v>
      </c>
      <c r="B36" s="17">
        <v>41947</v>
      </c>
      <c r="C36" s="16" t="s">
        <v>58</v>
      </c>
      <c r="D36" s="16" t="s">
        <v>68</v>
      </c>
      <c r="E36" s="16" t="s">
        <v>71</v>
      </c>
      <c r="F36" s="18">
        <v>4146</v>
      </c>
      <c r="G36" s="18">
        <v>7881</v>
      </c>
      <c r="H36" s="18">
        <v>12027</v>
      </c>
      <c r="I36" s="18">
        <v>2385</v>
      </c>
      <c r="J36" s="16" t="s">
        <v>64</v>
      </c>
      <c r="K36" s="16" t="s">
        <v>37</v>
      </c>
      <c r="L36" s="16"/>
    </row>
    <row r="37" spans="1:12" x14ac:dyDescent="0.3">
      <c r="A37" s="19" t="s">
        <v>92</v>
      </c>
      <c r="B37" s="20">
        <v>41948</v>
      </c>
      <c r="C37" s="19" t="s">
        <v>58</v>
      </c>
      <c r="D37" s="19" t="s">
        <v>49</v>
      </c>
      <c r="E37" s="19" t="s">
        <v>35</v>
      </c>
      <c r="F37" s="21">
        <v>1095</v>
      </c>
      <c r="G37" s="21">
        <v>14174</v>
      </c>
      <c r="H37" s="21">
        <v>15269</v>
      </c>
      <c r="I37" s="21">
        <v>15269</v>
      </c>
      <c r="J37" s="19" t="s">
        <v>36</v>
      </c>
      <c r="K37" s="19" t="s">
        <v>42</v>
      </c>
      <c r="L37" s="19">
        <v>18</v>
      </c>
    </row>
    <row r="38" spans="1:12" x14ac:dyDescent="0.3">
      <c r="A38" s="16" t="s">
        <v>93</v>
      </c>
      <c r="B38" s="17">
        <v>41958</v>
      </c>
      <c r="C38" s="16" t="s">
        <v>33</v>
      </c>
      <c r="D38" s="16" t="s">
        <v>49</v>
      </c>
      <c r="E38" s="16" t="s">
        <v>60</v>
      </c>
      <c r="F38" s="18">
        <v>4316</v>
      </c>
      <c r="G38" s="18">
        <v>9894</v>
      </c>
      <c r="H38" s="18">
        <v>14210</v>
      </c>
      <c r="I38" s="18">
        <v>5812</v>
      </c>
      <c r="J38" s="16" t="s">
        <v>47</v>
      </c>
      <c r="K38" s="16" t="s">
        <v>37</v>
      </c>
      <c r="L38" s="16"/>
    </row>
    <row r="39" spans="1:12" x14ac:dyDescent="0.3">
      <c r="A39" s="19" t="s">
        <v>94</v>
      </c>
      <c r="B39" s="20">
        <v>41962</v>
      </c>
      <c r="C39" s="19" t="s">
        <v>54</v>
      </c>
      <c r="D39" s="19" t="s">
        <v>40</v>
      </c>
      <c r="E39" s="19" t="s">
        <v>71</v>
      </c>
      <c r="F39" s="21">
        <v>4781</v>
      </c>
      <c r="G39" s="21">
        <v>13869</v>
      </c>
      <c r="H39" s="21">
        <v>18650</v>
      </c>
      <c r="I39" s="21">
        <v>18650</v>
      </c>
      <c r="J39" s="19" t="s">
        <v>36</v>
      </c>
      <c r="K39" s="19" t="s">
        <v>42</v>
      </c>
      <c r="L39" s="19">
        <v>24</v>
      </c>
    </row>
    <row r="40" spans="1:12" x14ac:dyDescent="0.3">
      <c r="A40" s="16" t="s">
        <v>95</v>
      </c>
      <c r="B40" s="17">
        <v>41963</v>
      </c>
      <c r="C40" s="16" t="s">
        <v>33</v>
      </c>
      <c r="D40" s="16" t="s">
        <v>56</v>
      </c>
      <c r="E40" s="16" t="s">
        <v>41</v>
      </c>
      <c r="F40" s="18">
        <v>6002</v>
      </c>
      <c r="G40" s="18">
        <v>9524</v>
      </c>
      <c r="H40" s="18">
        <v>15526</v>
      </c>
      <c r="I40" s="18">
        <v>15526</v>
      </c>
      <c r="J40" s="16" t="s">
        <v>61</v>
      </c>
      <c r="K40" s="16" t="s">
        <v>42</v>
      </c>
      <c r="L40" s="16">
        <v>4</v>
      </c>
    </row>
    <row r="41" spans="1:12" x14ac:dyDescent="0.3">
      <c r="A41" s="19" t="s">
        <v>96</v>
      </c>
      <c r="B41" s="20">
        <v>41963</v>
      </c>
      <c r="C41" s="19" t="s">
        <v>33</v>
      </c>
      <c r="D41" s="19" t="s">
        <v>59</v>
      </c>
      <c r="E41" s="19" t="s">
        <v>46</v>
      </c>
      <c r="F41" s="21">
        <v>6173</v>
      </c>
      <c r="G41" s="21">
        <v>4701</v>
      </c>
      <c r="H41" s="21">
        <v>10874</v>
      </c>
      <c r="I41" s="21">
        <v>1752</v>
      </c>
      <c r="J41" s="19" t="s">
        <v>36</v>
      </c>
      <c r="K41" s="19" t="s">
        <v>37</v>
      </c>
      <c r="L41" s="19"/>
    </row>
    <row r="42" spans="1:12" x14ac:dyDescent="0.3">
      <c r="A42" s="16" t="s">
        <v>97</v>
      </c>
      <c r="B42" s="17">
        <v>41969</v>
      </c>
      <c r="C42" s="16" t="s">
        <v>468</v>
      </c>
      <c r="D42" s="16" t="s">
        <v>68</v>
      </c>
      <c r="E42" s="16" t="s">
        <v>52</v>
      </c>
      <c r="F42" s="18">
        <v>4339</v>
      </c>
      <c r="G42" s="18">
        <v>12534</v>
      </c>
      <c r="H42" s="18">
        <v>16873</v>
      </c>
      <c r="I42" s="18">
        <v>16873</v>
      </c>
      <c r="J42" s="16" t="s">
        <v>61</v>
      </c>
      <c r="K42" s="16" t="s">
        <v>42</v>
      </c>
      <c r="L42" s="16">
        <v>19</v>
      </c>
    </row>
    <row r="43" spans="1:12" x14ac:dyDescent="0.3">
      <c r="A43" s="19" t="s">
        <v>98</v>
      </c>
      <c r="B43" s="20">
        <v>41970</v>
      </c>
      <c r="C43" s="19" t="s">
        <v>58</v>
      </c>
      <c r="D43" s="19" t="s">
        <v>56</v>
      </c>
      <c r="E43" s="19" t="s">
        <v>52</v>
      </c>
      <c r="F43" s="21">
        <v>2694</v>
      </c>
      <c r="G43" s="21">
        <v>6775</v>
      </c>
      <c r="H43" s="21">
        <v>9469</v>
      </c>
      <c r="I43" s="21">
        <v>9469</v>
      </c>
      <c r="J43" s="19" t="s">
        <v>36</v>
      </c>
      <c r="K43" s="19" t="s">
        <v>42</v>
      </c>
      <c r="L43" s="19">
        <v>22</v>
      </c>
    </row>
    <row r="44" spans="1:12" x14ac:dyDescent="0.3">
      <c r="A44" s="16" t="s">
        <v>99</v>
      </c>
      <c r="B44" s="17">
        <v>41996</v>
      </c>
      <c r="C44" s="16" t="s">
        <v>468</v>
      </c>
      <c r="D44" s="16" t="s">
        <v>59</v>
      </c>
      <c r="E44" s="16" t="s">
        <v>41</v>
      </c>
      <c r="F44" s="18">
        <v>1060</v>
      </c>
      <c r="G44" s="18">
        <v>988</v>
      </c>
      <c r="H44" s="18">
        <v>2048</v>
      </c>
      <c r="I44" s="18">
        <v>2048</v>
      </c>
      <c r="J44" s="16" t="s">
        <v>36</v>
      </c>
      <c r="K44" s="16" t="s">
        <v>42</v>
      </c>
      <c r="L44" s="16">
        <v>6</v>
      </c>
    </row>
    <row r="45" spans="1:12" x14ac:dyDescent="0.3">
      <c r="A45" s="19" t="s">
        <v>100</v>
      </c>
      <c r="B45" s="20">
        <v>42014</v>
      </c>
      <c r="C45" s="19" t="s">
        <v>58</v>
      </c>
      <c r="D45" s="19" t="s">
        <v>40</v>
      </c>
      <c r="E45" s="19" t="s">
        <v>41</v>
      </c>
      <c r="F45" s="21">
        <v>7648</v>
      </c>
      <c r="G45" s="21">
        <v>14598</v>
      </c>
      <c r="H45" s="21">
        <v>22246</v>
      </c>
      <c r="I45" s="21">
        <v>22246</v>
      </c>
      <c r="J45" s="19" t="s">
        <v>61</v>
      </c>
      <c r="K45" s="19" t="s">
        <v>42</v>
      </c>
      <c r="L45" s="19">
        <v>24</v>
      </c>
    </row>
    <row r="46" spans="1:12" x14ac:dyDescent="0.3">
      <c r="A46" s="16" t="s">
        <v>101</v>
      </c>
      <c r="B46" s="17">
        <v>42036</v>
      </c>
      <c r="C46" s="16" t="s">
        <v>39</v>
      </c>
      <c r="D46" s="16" t="s">
        <v>470</v>
      </c>
      <c r="E46" s="16" t="s">
        <v>71</v>
      </c>
      <c r="F46" s="18">
        <v>7311</v>
      </c>
      <c r="G46" s="18">
        <v>6055</v>
      </c>
      <c r="H46" s="18">
        <v>13366</v>
      </c>
      <c r="I46" s="18">
        <v>13366</v>
      </c>
      <c r="J46" s="16" t="s">
        <v>36</v>
      </c>
      <c r="K46" s="16" t="s">
        <v>42</v>
      </c>
      <c r="L46" s="16">
        <v>24</v>
      </c>
    </row>
    <row r="47" spans="1:12" x14ac:dyDescent="0.3">
      <c r="A47" s="19" t="s">
        <v>102</v>
      </c>
      <c r="B47" s="20">
        <v>42043</v>
      </c>
      <c r="C47" s="19" t="s">
        <v>54</v>
      </c>
      <c r="D47" s="19" t="s">
        <v>59</v>
      </c>
      <c r="E47" s="19" t="s">
        <v>52</v>
      </c>
      <c r="F47" s="21">
        <v>2162</v>
      </c>
      <c r="G47" s="21">
        <v>11870</v>
      </c>
      <c r="H47" s="21">
        <v>14032</v>
      </c>
      <c r="I47" s="21">
        <v>14032</v>
      </c>
      <c r="J47" s="19" t="s">
        <v>64</v>
      </c>
      <c r="K47" s="19" t="s">
        <v>42</v>
      </c>
      <c r="L47" s="19">
        <v>28</v>
      </c>
    </row>
    <row r="48" spans="1:12" x14ac:dyDescent="0.3">
      <c r="A48" s="16" t="s">
        <v>103</v>
      </c>
      <c r="B48" s="17">
        <v>42045</v>
      </c>
      <c r="C48" s="16" t="s">
        <v>39</v>
      </c>
      <c r="D48" s="16" t="s">
        <v>49</v>
      </c>
      <c r="E48" s="16" t="s">
        <v>71</v>
      </c>
      <c r="F48" s="18">
        <v>4143</v>
      </c>
      <c r="G48" s="18">
        <v>5083</v>
      </c>
      <c r="H48" s="18">
        <v>9226</v>
      </c>
      <c r="I48" s="18">
        <v>9226</v>
      </c>
      <c r="J48" s="16" t="s">
        <v>61</v>
      </c>
      <c r="K48" s="16" t="s">
        <v>42</v>
      </c>
      <c r="L48" s="16">
        <v>22</v>
      </c>
    </row>
    <row r="49" spans="1:12" x14ac:dyDescent="0.3">
      <c r="A49" s="19" t="s">
        <v>104</v>
      </c>
      <c r="B49" s="20">
        <v>42046</v>
      </c>
      <c r="C49" s="19" t="s">
        <v>58</v>
      </c>
      <c r="D49" s="19" t="s">
        <v>40</v>
      </c>
      <c r="E49" s="19" t="s">
        <v>71</v>
      </c>
      <c r="F49" s="21">
        <v>2528</v>
      </c>
      <c r="G49" s="21">
        <v>4835</v>
      </c>
      <c r="H49" s="21">
        <v>7363</v>
      </c>
      <c r="I49" s="21">
        <v>7363</v>
      </c>
      <c r="J49" s="19" t="s">
        <v>36</v>
      </c>
      <c r="K49" s="19" t="s">
        <v>42</v>
      </c>
      <c r="L49" s="19">
        <v>5</v>
      </c>
    </row>
    <row r="50" spans="1:12" x14ac:dyDescent="0.3">
      <c r="A50" s="16" t="s">
        <v>105</v>
      </c>
      <c r="B50" s="17">
        <v>42060</v>
      </c>
      <c r="C50" s="16" t="s">
        <v>54</v>
      </c>
      <c r="D50" s="16" t="s">
        <v>470</v>
      </c>
      <c r="E50" s="16" t="s">
        <v>71</v>
      </c>
      <c r="F50" s="18">
        <v>6214</v>
      </c>
      <c r="G50" s="18">
        <v>5343</v>
      </c>
      <c r="H50" s="18">
        <v>11557</v>
      </c>
      <c r="I50" s="18">
        <v>11557</v>
      </c>
      <c r="J50" s="16" t="s">
        <v>47</v>
      </c>
      <c r="K50" s="16" t="s">
        <v>42</v>
      </c>
      <c r="L50" s="16">
        <v>14</v>
      </c>
    </row>
    <row r="51" spans="1:12" x14ac:dyDescent="0.3">
      <c r="A51" s="19" t="s">
        <v>106</v>
      </c>
      <c r="B51" s="20">
        <v>42064</v>
      </c>
      <c r="C51" s="19" t="s">
        <v>58</v>
      </c>
      <c r="D51" s="19" t="s">
        <v>470</v>
      </c>
      <c r="E51" s="19" t="s">
        <v>41</v>
      </c>
      <c r="F51" s="21">
        <v>1745</v>
      </c>
      <c r="G51" s="21">
        <v>2253</v>
      </c>
      <c r="H51" s="21">
        <v>3998</v>
      </c>
      <c r="I51" s="21">
        <v>3998</v>
      </c>
      <c r="J51" s="19" t="s">
        <v>61</v>
      </c>
      <c r="K51" s="19" t="s">
        <v>42</v>
      </c>
      <c r="L51" s="19">
        <v>8</v>
      </c>
    </row>
    <row r="52" spans="1:12" x14ac:dyDescent="0.3">
      <c r="A52" s="16" t="s">
        <v>107</v>
      </c>
      <c r="B52" s="17">
        <v>42068</v>
      </c>
      <c r="C52" s="16" t="s">
        <v>58</v>
      </c>
      <c r="D52" s="16" t="s">
        <v>470</v>
      </c>
      <c r="E52" s="16" t="s">
        <v>46</v>
      </c>
      <c r="F52" s="18">
        <v>4172</v>
      </c>
      <c r="G52" s="18">
        <v>11865</v>
      </c>
      <c r="H52" s="18">
        <v>16037</v>
      </c>
      <c r="I52" s="18">
        <v>2361</v>
      </c>
      <c r="J52" s="16" t="s">
        <v>47</v>
      </c>
      <c r="K52" s="16" t="s">
        <v>37</v>
      </c>
      <c r="L52" s="16"/>
    </row>
    <row r="53" spans="1:12" x14ac:dyDescent="0.3">
      <c r="A53" s="19" t="s">
        <v>108</v>
      </c>
      <c r="B53" s="20">
        <v>42080</v>
      </c>
      <c r="C53" s="19" t="s">
        <v>39</v>
      </c>
      <c r="D53" s="19" t="s">
        <v>56</v>
      </c>
      <c r="E53" s="19" t="s">
        <v>60</v>
      </c>
      <c r="F53" s="21">
        <v>2966</v>
      </c>
      <c r="G53" s="21">
        <v>12419</v>
      </c>
      <c r="H53" s="21">
        <v>15385</v>
      </c>
      <c r="I53" s="21">
        <v>15385</v>
      </c>
      <c r="J53" s="19" t="s">
        <v>47</v>
      </c>
      <c r="K53" s="19" t="s">
        <v>42</v>
      </c>
      <c r="L53" s="19">
        <v>24</v>
      </c>
    </row>
    <row r="54" spans="1:12" x14ac:dyDescent="0.3">
      <c r="A54" s="16" t="s">
        <v>109</v>
      </c>
      <c r="B54" s="17">
        <v>42082</v>
      </c>
      <c r="C54" s="16" t="s">
        <v>468</v>
      </c>
      <c r="D54" s="16" t="s">
        <v>68</v>
      </c>
      <c r="E54" s="16" t="s">
        <v>52</v>
      </c>
      <c r="F54" s="18">
        <v>3355</v>
      </c>
      <c r="G54" s="18">
        <v>9933</v>
      </c>
      <c r="H54" s="18">
        <v>13288</v>
      </c>
      <c r="I54" s="18">
        <v>3249</v>
      </c>
      <c r="J54" s="16" t="s">
        <v>36</v>
      </c>
      <c r="K54" s="16" t="s">
        <v>37</v>
      </c>
      <c r="L54" s="16"/>
    </row>
    <row r="55" spans="1:12" x14ac:dyDescent="0.3">
      <c r="A55" s="19" t="s">
        <v>110</v>
      </c>
      <c r="B55" s="20">
        <v>42083</v>
      </c>
      <c r="C55" s="19" t="s">
        <v>33</v>
      </c>
      <c r="D55" s="19" t="s">
        <v>45</v>
      </c>
      <c r="E55" s="19" t="s">
        <v>41</v>
      </c>
      <c r="F55" s="21">
        <v>5356</v>
      </c>
      <c r="G55" s="21">
        <v>6522</v>
      </c>
      <c r="H55" s="21">
        <v>11878</v>
      </c>
      <c r="I55" s="21">
        <v>11878</v>
      </c>
      <c r="J55" s="19" t="s">
        <v>61</v>
      </c>
      <c r="K55" s="19" t="s">
        <v>42</v>
      </c>
      <c r="L55" s="19">
        <v>24</v>
      </c>
    </row>
    <row r="56" spans="1:12" x14ac:dyDescent="0.3">
      <c r="A56" s="16" t="s">
        <v>111</v>
      </c>
      <c r="B56" s="17">
        <v>42086</v>
      </c>
      <c r="C56" s="16" t="s">
        <v>39</v>
      </c>
      <c r="D56" s="16" t="s">
        <v>49</v>
      </c>
      <c r="E56" s="16" t="s">
        <v>35</v>
      </c>
      <c r="F56" s="18">
        <v>2614</v>
      </c>
      <c r="G56" s="18">
        <v>10577</v>
      </c>
      <c r="H56" s="18">
        <v>13191</v>
      </c>
      <c r="I56" s="18">
        <v>13191</v>
      </c>
      <c r="J56" s="16" t="s">
        <v>61</v>
      </c>
      <c r="K56" s="16" t="s">
        <v>42</v>
      </c>
      <c r="L56" s="16">
        <v>23</v>
      </c>
    </row>
    <row r="57" spans="1:12" x14ac:dyDescent="0.3">
      <c r="A57" s="19" t="s">
        <v>112</v>
      </c>
      <c r="B57" s="20">
        <v>42089</v>
      </c>
      <c r="C57" s="19" t="s">
        <v>58</v>
      </c>
      <c r="D57" s="19" t="s">
        <v>40</v>
      </c>
      <c r="E57" s="19" t="s">
        <v>35</v>
      </c>
      <c r="F57" s="21">
        <v>2110</v>
      </c>
      <c r="G57" s="21">
        <v>13477</v>
      </c>
      <c r="H57" s="21">
        <v>15587</v>
      </c>
      <c r="I57" s="21">
        <v>4885</v>
      </c>
      <c r="J57" s="19" t="s">
        <v>64</v>
      </c>
      <c r="K57" s="19" t="s">
        <v>37</v>
      </c>
      <c r="L57" s="19"/>
    </row>
    <row r="58" spans="1:12" x14ac:dyDescent="0.3">
      <c r="A58" s="16" t="s">
        <v>113</v>
      </c>
      <c r="B58" s="17">
        <v>42090</v>
      </c>
      <c r="C58" s="16" t="s">
        <v>58</v>
      </c>
      <c r="D58" s="16" t="s">
        <v>68</v>
      </c>
      <c r="E58" s="16" t="s">
        <v>50</v>
      </c>
      <c r="F58" s="18">
        <v>4412</v>
      </c>
      <c r="G58" s="18">
        <v>5639</v>
      </c>
      <c r="H58" s="18">
        <v>10051</v>
      </c>
      <c r="I58" s="18">
        <v>1240</v>
      </c>
      <c r="J58" s="16" t="s">
        <v>47</v>
      </c>
      <c r="K58" s="16" t="s">
        <v>37</v>
      </c>
      <c r="L58" s="16"/>
    </row>
    <row r="59" spans="1:12" x14ac:dyDescent="0.3">
      <c r="A59" s="19" t="s">
        <v>114</v>
      </c>
      <c r="B59" s="20">
        <v>42096</v>
      </c>
      <c r="C59" s="19" t="s">
        <v>54</v>
      </c>
      <c r="D59" s="19" t="s">
        <v>40</v>
      </c>
      <c r="E59" s="19" t="s">
        <v>50</v>
      </c>
      <c r="F59" s="21">
        <v>3053</v>
      </c>
      <c r="G59" s="21">
        <v>4512</v>
      </c>
      <c r="H59" s="21">
        <v>7565</v>
      </c>
      <c r="I59" s="21">
        <v>7565</v>
      </c>
      <c r="J59" s="19" t="s">
        <v>64</v>
      </c>
      <c r="K59" s="19" t="s">
        <v>42</v>
      </c>
      <c r="L59" s="19">
        <v>4</v>
      </c>
    </row>
    <row r="60" spans="1:12" x14ac:dyDescent="0.3">
      <c r="A60" s="16" t="s">
        <v>115</v>
      </c>
      <c r="B60" s="17">
        <v>42101</v>
      </c>
      <c r="C60" s="16" t="s">
        <v>33</v>
      </c>
      <c r="D60" s="16" t="s">
        <v>56</v>
      </c>
      <c r="E60" s="16" t="s">
        <v>52</v>
      </c>
      <c r="F60" s="18">
        <v>6789</v>
      </c>
      <c r="G60" s="18">
        <v>8018</v>
      </c>
      <c r="H60" s="18">
        <v>14807</v>
      </c>
      <c r="I60" s="18">
        <v>14807</v>
      </c>
      <c r="J60" s="16" t="s">
        <v>36</v>
      </c>
      <c r="K60" s="16" t="s">
        <v>42</v>
      </c>
      <c r="L60" s="16">
        <v>22</v>
      </c>
    </row>
    <row r="61" spans="1:12" x14ac:dyDescent="0.3">
      <c r="A61" s="19" t="s">
        <v>116</v>
      </c>
      <c r="B61" s="20">
        <v>42104</v>
      </c>
      <c r="C61" s="19" t="s">
        <v>39</v>
      </c>
      <c r="D61" s="19" t="s">
        <v>68</v>
      </c>
      <c r="E61" s="19" t="s">
        <v>41</v>
      </c>
      <c r="F61" s="21">
        <v>6106</v>
      </c>
      <c r="G61" s="21">
        <v>14133</v>
      </c>
      <c r="H61" s="21">
        <v>20239</v>
      </c>
      <c r="I61" s="21">
        <v>20239</v>
      </c>
      <c r="J61" s="19" t="s">
        <v>61</v>
      </c>
      <c r="K61" s="19" t="s">
        <v>42</v>
      </c>
      <c r="L61" s="19">
        <v>15</v>
      </c>
    </row>
    <row r="62" spans="1:12" x14ac:dyDescent="0.3">
      <c r="A62" s="16" t="s">
        <v>117</v>
      </c>
      <c r="B62" s="17">
        <v>42108</v>
      </c>
      <c r="C62" s="16" t="s">
        <v>468</v>
      </c>
      <c r="D62" s="16" t="s">
        <v>40</v>
      </c>
      <c r="E62" s="16" t="s">
        <v>35</v>
      </c>
      <c r="F62" s="18">
        <v>7890</v>
      </c>
      <c r="G62" s="18">
        <v>4022</v>
      </c>
      <c r="H62" s="18">
        <v>11912</v>
      </c>
      <c r="I62" s="18">
        <v>3699</v>
      </c>
      <c r="J62" s="16" t="s">
        <v>36</v>
      </c>
      <c r="K62" s="16" t="s">
        <v>37</v>
      </c>
      <c r="L62" s="16"/>
    </row>
    <row r="63" spans="1:12" x14ac:dyDescent="0.3">
      <c r="A63" s="19" t="s">
        <v>118</v>
      </c>
      <c r="B63" s="20">
        <v>42111</v>
      </c>
      <c r="C63" s="19" t="s">
        <v>39</v>
      </c>
      <c r="D63" s="19" t="s">
        <v>68</v>
      </c>
      <c r="E63" s="19" t="s">
        <v>52</v>
      </c>
      <c r="F63" s="21">
        <v>3460</v>
      </c>
      <c r="G63" s="21">
        <v>3315</v>
      </c>
      <c r="H63" s="21">
        <v>6775</v>
      </c>
      <c r="I63" s="21">
        <v>2824</v>
      </c>
      <c r="J63" s="19" t="s">
        <v>61</v>
      </c>
      <c r="K63" s="19" t="s">
        <v>37</v>
      </c>
      <c r="L63" s="19"/>
    </row>
    <row r="64" spans="1:12" x14ac:dyDescent="0.3">
      <c r="A64" s="16" t="s">
        <v>119</v>
      </c>
      <c r="B64" s="17">
        <v>42122</v>
      </c>
      <c r="C64" s="16" t="s">
        <v>33</v>
      </c>
      <c r="D64" s="16" t="s">
        <v>45</v>
      </c>
      <c r="E64" s="16" t="s">
        <v>50</v>
      </c>
      <c r="F64" s="18">
        <v>2932</v>
      </c>
      <c r="G64" s="18">
        <v>12034</v>
      </c>
      <c r="H64" s="18">
        <v>14966</v>
      </c>
      <c r="I64" s="18">
        <v>1757</v>
      </c>
      <c r="J64" s="16" t="s">
        <v>61</v>
      </c>
      <c r="K64" s="16" t="s">
        <v>37</v>
      </c>
      <c r="L64" s="16"/>
    </row>
    <row r="65" spans="1:12" x14ac:dyDescent="0.3">
      <c r="A65" s="19" t="s">
        <v>120</v>
      </c>
      <c r="B65" s="20">
        <v>42141</v>
      </c>
      <c r="C65" s="19" t="s">
        <v>33</v>
      </c>
      <c r="D65" s="19" t="s">
        <v>59</v>
      </c>
      <c r="E65" s="19" t="s">
        <v>35</v>
      </c>
      <c r="F65" s="21">
        <v>2830</v>
      </c>
      <c r="G65" s="21">
        <v>2808</v>
      </c>
      <c r="H65" s="21">
        <v>5638</v>
      </c>
      <c r="I65" s="21">
        <v>5638</v>
      </c>
      <c r="J65" s="19" t="s">
        <v>61</v>
      </c>
      <c r="K65" s="19" t="s">
        <v>42</v>
      </c>
      <c r="L65" s="19">
        <v>1</v>
      </c>
    </row>
    <row r="66" spans="1:12" x14ac:dyDescent="0.3">
      <c r="A66" s="16" t="s">
        <v>121</v>
      </c>
      <c r="B66" s="17">
        <v>42146</v>
      </c>
      <c r="C66" s="16" t="s">
        <v>39</v>
      </c>
      <c r="D66" s="16" t="s">
        <v>470</v>
      </c>
      <c r="E66" s="16" t="s">
        <v>46</v>
      </c>
      <c r="F66" s="18">
        <v>6311</v>
      </c>
      <c r="G66" s="18">
        <v>12771</v>
      </c>
      <c r="H66" s="18">
        <v>19082</v>
      </c>
      <c r="I66" s="18">
        <v>19082</v>
      </c>
      <c r="J66" s="16" t="s">
        <v>47</v>
      </c>
      <c r="K66" s="16" t="s">
        <v>42</v>
      </c>
      <c r="L66" s="16">
        <v>18</v>
      </c>
    </row>
    <row r="67" spans="1:12" x14ac:dyDescent="0.3">
      <c r="A67" s="19" t="s">
        <v>122</v>
      </c>
      <c r="B67" s="20">
        <v>42149</v>
      </c>
      <c r="C67" s="19" t="s">
        <v>39</v>
      </c>
      <c r="D67" s="19" t="s">
        <v>40</v>
      </c>
      <c r="E67" s="19" t="s">
        <v>35</v>
      </c>
      <c r="F67" s="21">
        <v>3291</v>
      </c>
      <c r="G67" s="21">
        <v>11964</v>
      </c>
      <c r="H67" s="21">
        <v>15255</v>
      </c>
      <c r="I67" s="21">
        <v>2230</v>
      </c>
      <c r="J67" s="19" t="s">
        <v>47</v>
      </c>
      <c r="K67" s="19" t="s">
        <v>37</v>
      </c>
      <c r="L67" s="19"/>
    </row>
    <row r="68" spans="1:12" x14ac:dyDescent="0.3">
      <c r="A68" s="16" t="s">
        <v>123</v>
      </c>
      <c r="B68" s="17">
        <v>42149</v>
      </c>
      <c r="C68" s="16" t="s">
        <v>33</v>
      </c>
      <c r="D68" s="16" t="s">
        <v>59</v>
      </c>
      <c r="E68" s="16" t="s">
        <v>71</v>
      </c>
      <c r="F68" s="18">
        <v>4076</v>
      </c>
      <c r="G68" s="18">
        <v>12678</v>
      </c>
      <c r="H68" s="18">
        <v>16754</v>
      </c>
      <c r="I68" s="18">
        <v>6334</v>
      </c>
      <c r="J68" s="16" t="s">
        <v>61</v>
      </c>
      <c r="K68" s="16" t="s">
        <v>37</v>
      </c>
      <c r="L68" s="16"/>
    </row>
    <row r="69" spans="1:12" x14ac:dyDescent="0.3">
      <c r="A69" s="19" t="s">
        <v>124</v>
      </c>
      <c r="B69" s="20">
        <v>42162</v>
      </c>
      <c r="C69" s="19" t="s">
        <v>54</v>
      </c>
      <c r="D69" s="19" t="s">
        <v>470</v>
      </c>
      <c r="E69" s="19" t="s">
        <v>71</v>
      </c>
      <c r="F69" s="21">
        <v>3787</v>
      </c>
      <c r="G69" s="21">
        <v>13543</v>
      </c>
      <c r="H69" s="21">
        <v>17330</v>
      </c>
      <c r="I69" s="21">
        <v>17330</v>
      </c>
      <c r="J69" s="19" t="s">
        <v>61</v>
      </c>
      <c r="K69" s="19" t="s">
        <v>42</v>
      </c>
      <c r="L69" s="19">
        <v>28</v>
      </c>
    </row>
    <row r="70" spans="1:12" x14ac:dyDescent="0.3">
      <c r="A70" s="16" t="s">
        <v>125</v>
      </c>
      <c r="B70" s="17">
        <v>42175</v>
      </c>
      <c r="C70" s="16" t="s">
        <v>33</v>
      </c>
      <c r="D70" s="16" t="s">
        <v>56</v>
      </c>
      <c r="E70" s="16" t="s">
        <v>52</v>
      </c>
      <c r="F70" s="18">
        <v>6872</v>
      </c>
      <c r="G70" s="18">
        <v>7739</v>
      </c>
      <c r="H70" s="18">
        <v>14611</v>
      </c>
      <c r="I70" s="18">
        <v>4594</v>
      </c>
      <c r="J70" s="16" t="s">
        <v>64</v>
      </c>
      <c r="K70" s="16" t="s">
        <v>37</v>
      </c>
      <c r="L70" s="16"/>
    </row>
    <row r="71" spans="1:12" x14ac:dyDescent="0.3">
      <c r="A71" s="19" t="s">
        <v>126</v>
      </c>
      <c r="B71" s="20">
        <v>42184</v>
      </c>
      <c r="C71" s="19" t="s">
        <v>33</v>
      </c>
      <c r="D71" s="19" t="s">
        <v>68</v>
      </c>
      <c r="E71" s="19" t="s">
        <v>50</v>
      </c>
      <c r="F71" s="21">
        <v>2262</v>
      </c>
      <c r="G71" s="21">
        <v>9302</v>
      </c>
      <c r="H71" s="21">
        <v>11564</v>
      </c>
      <c r="I71" s="21">
        <v>4332</v>
      </c>
      <c r="J71" s="19" t="s">
        <v>36</v>
      </c>
      <c r="K71" s="19" t="s">
        <v>37</v>
      </c>
      <c r="L71" s="19"/>
    </row>
    <row r="72" spans="1:12" x14ac:dyDescent="0.3">
      <c r="A72" s="16" t="s">
        <v>127</v>
      </c>
      <c r="B72" s="17">
        <v>42186</v>
      </c>
      <c r="C72" s="16" t="s">
        <v>39</v>
      </c>
      <c r="D72" s="16" t="s">
        <v>40</v>
      </c>
      <c r="E72" s="16" t="s">
        <v>41</v>
      </c>
      <c r="F72" s="18">
        <v>5151</v>
      </c>
      <c r="G72" s="18">
        <v>9657</v>
      </c>
      <c r="H72" s="18">
        <v>14808</v>
      </c>
      <c r="I72" s="18">
        <v>14808</v>
      </c>
      <c r="J72" s="16" t="s">
        <v>47</v>
      </c>
      <c r="K72" s="16" t="s">
        <v>42</v>
      </c>
      <c r="L72" s="16">
        <v>30</v>
      </c>
    </row>
    <row r="73" spans="1:12" x14ac:dyDescent="0.3">
      <c r="A73" s="19" t="s">
        <v>128</v>
      </c>
      <c r="B73" s="20">
        <v>42187</v>
      </c>
      <c r="C73" s="19" t="s">
        <v>39</v>
      </c>
      <c r="D73" s="19" t="s">
        <v>56</v>
      </c>
      <c r="E73" s="19" t="s">
        <v>46</v>
      </c>
      <c r="F73" s="21">
        <v>4527</v>
      </c>
      <c r="G73" s="21">
        <v>12750</v>
      </c>
      <c r="H73" s="21">
        <v>17277</v>
      </c>
      <c r="I73" s="21">
        <v>17277</v>
      </c>
      <c r="J73" s="19" t="s">
        <v>47</v>
      </c>
      <c r="K73" s="19" t="s">
        <v>42</v>
      </c>
      <c r="L73" s="19">
        <v>13</v>
      </c>
    </row>
    <row r="74" spans="1:12" x14ac:dyDescent="0.3">
      <c r="A74" s="16" t="s">
        <v>129</v>
      </c>
      <c r="B74" s="17">
        <v>42192</v>
      </c>
      <c r="C74" s="16" t="s">
        <v>54</v>
      </c>
      <c r="D74" s="16" t="s">
        <v>40</v>
      </c>
      <c r="E74" s="16" t="s">
        <v>52</v>
      </c>
      <c r="F74" s="18">
        <v>7158</v>
      </c>
      <c r="G74" s="18">
        <v>7998</v>
      </c>
      <c r="H74" s="18">
        <v>15156</v>
      </c>
      <c r="I74" s="18">
        <v>15156</v>
      </c>
      <c r="J74" s="16" t="s">
        <v>36</v>
      </c>
      <c r="K74" s="16" t="s">
        <v>42</v>
      </c>
      <c r="L74" s="16">
        <v>9</v>
      </c>
    </row>
    <row r="75" spans="1:12" x14ac:dyDescent="0.3">
      <c r="A75" s="19" t="s">
        <v>130</v>
      </c>
      <c r="B75" s="20">
        <v>42194</v>
      </c>
      <c r="C75" s="19" t="s">
        <v>39</v>
      </c>
      <c r="D75" s="19" t="s">
        <v>470</v>
      </c>
      <c r="E75" s="19" t="s">
        <v>50</v>
      </c>
      <c r="F75" s="21">
        <v>3933</v>
      </c>
      <c r="G75" s="21">
        <v>7848</v>
      </c>
      <c r="H75" s="21">
        <v>11781</v>
      </c>
      <c r="I75" s="21">
        <v>3077</v>
      </c>
      <c r="J75" s="19" t="s">
        <v>64</v>
      </c>
      <c r="K75" s="19" t="s">
        <v>37</v>
      </c>
      <c r="L75" s="19"/>
    </row>
    <row r="76" spans="1:12" x14ac:dyDescent="0.3">
      <c r="A76" s="16" t="s">
        <v>131</v>
      </c>
      <c r="B76" s="17">
        <v>42195</v>
      </c>
      <c r="C76" s="16" t="s">
        <v>39</v>
      </c>
      <c r="D76" s="16" t="s">
        <v>59</v>
      </c>
      <c r="E76" s="16" t="s">
        <v>35</v>
      </c>
      <c r="F76" s="18">
        <v>3839</v>
      </c>
      <c r="G76" s="18">
        <v>11485</v>
      </c>
      <c r="H76" s="18">
        <v>15324</v>
      </c>
      <c r="I76" s="18">
        <v>4811</v>
      </c>
      <c r="J76" s="16" t="s">
        <v>36</v>
      </c>
      <c r="K76" s="16" t="s">
        <v>37</v>
      </c>
      <c r="L76" s="16"/>
    </row>
    <row r="77" spans="1:12" x14ac:dyDescent="0.3">
      <c r="A77" s="19" t="s">
        <v>132</v>
      </c>
      <c r="B77" s="20">
        <v>42212</v>
      </c>
      <c r="C77" s="19" t="s">
        <v>54</v>
      </c>
      <c r="D77" s="19" t="s">
        <v>68</v>
      </c>
      <c r="E77" s="19" t="s">
        <v>41</v>
      </c>
      <c r="F77" s="21">
        <v>3293</v>
      </c>
      <c r="G77" s="21">
        <v>8571</v>
      </c>
      <c r="H77" s="21">
        <v>11864</v>
      </c>
      <c r="I77" s="21">
        <v>11864</v>
      </c>
      <c r="J77" s="19" t="s">
        <v>36</v>
      </c>
      <c r="K77" s="19" t="s">
        <v>42</v>
      </c>
      <c r="L77" s="19">
        <v>3</v>
      </c>
    </row>
    <row r="78" spans="1:12" x14ac:dyDescent="0.3">
      <c r="A78" s="16" t="s">
        <v>133</v>
      </c>
      <c r="B78" s="17">
        <v>42222</v>
      </c>
      <c r="C78" s="16" t="s">
        <v>54</v>
      </c>
      <c r="D78" s="16" t="s">
        <v>68</v>
      </c>
      <c r="E78" s="16" t="s">
        <v>35</v>
      </c>
      <c r="F78" s="18">
        <v>2159</v>
      </c>
      <c r="G78" s="18">
        <v>13486</v>
      </c>
      <c r="H78" s="18">
        <v>15645</v>
      </c>
      <c r="I78" s="18">
        <v>15645</v>
      </c>
      <c r="J78" s="16" t="s">
        <v>61</v>
      </c>
      <c r="K78" s="16" t="s">
        <v>42</v>
      </c>
      <c r="L78" s="16">
        <v>19</v>
      </c>
    </row>
    <row r="79" spans="1:12" x14ac:dyDescent="0.3">
      <c r="A79" s="19" t="s">
        <v>134</v>
      </c>
      <c r="B79" s="20">
        <v>42224</v>
      </c>
      <c r="C79" s="19" t="s">
        <v>468</v>
      </c>
      <c r="D79" s="19" t="s">
        <v>40</v>
      </c>
      <c r="E79" s="19" t="s">
        <v>71</v>
      </c>
      <c r="F79" s="21">
        <v>7200</v>
      </c>
      <c r="G79" s="21">
        <v>7679</v>
      </c>
      <c r="H79" s="21">
        <v>14879</v>
      </c>
      <c r="I79" s="21">
        <v>14879</v>
      </c>
      <c r="J79" s="19" t="s">
        <v>64</v>
      </c>
      <c r="K79" s="19" t="s">
        <v>42</v>
      </c>
      <c r="L79" s="19">
        <v>4</v>
      </c>
    </row>
    <row r="80" spans="1:12" x14ac:dyDescent="0.3">
      <c r="A80" s="16" t="s">
        <v>135</v>
      </c>
      <c r="B80" s="17">
        <v>42226</v>
      </c>
      <c r="C80" s="16" t="s">
        <v>468</v>
      </c>
      <c r="D80" s="16" t="s">
        <v>40</v>
      </c>
      <c r="E80" s="16" t="s">
        <v>52</v>
      </c>
      <c r="F80" s="18">
        <v>4083</v>
      </c>
      <c r="G80" s="18">
        <v>1640</v>
      </c>
      <c r="H80" s="18">
        <v>5723</v>
      </c>
      <c r="I80" s="18">
        <v>5723</v>
      </c>
      <c r="J80" s="16" t="s">
        <v>64</v>
      </c>
      <c r="K80" s="16" t="s">
        <v>42</v>
      </c>
      <c r="L80" s="16">
        <v>23</v>
      </c>
    </row>
    <row r="81" spans="1:12" x14ac:dyDescent="0.3">
      <c r="A81" s="19" t="s">
        <v>136</v>
      </c>
      <c r="B81" s="20">
        <v>42244</v>
      </c>
      <c r="C81" s="19" t="s">
        <v>54</v>
      </c>
      <c r="D81" s="19" t="s">
        <v>45</v>
      </c>
      <c r="E81" s="19" t="s">
        <v>71</v>
      </c>
      <c r="F81" s="21">
        <v>7848</v>
      </c>
      <c r="G81" s="21">
        <v>13116</v>
      </c>
      <c r="H81" s="21">
        <v>20964</v>
      </c>
      <c r="I81" s="21">
        <v>20964</v>
      </c>
      <c r="J81" s="19" t="s">
        <v>47</v>
      </c>
      <c r="K81" s="19" t="s">
        <v>42</v>
      </c>
      <c r="L81" s="19">
        <v>24</v>
      </c>
    </row>
    <row r="82" spans="1:12" x14ac:dyDescent="0.3">
      <c r="A82" s="16" t="s">
        <v>137</v>
      </c>
      <c r="B82" s="17">
        <v>42252</v>
      </c>
      <c r="C82" s="16" t="s">
        <v>468</v>
      </c>
      <c r="D82" s="16" t="s">
        <v>40</v>
      </c>
      <c r="E82" s="16" t="s">
        <v>71</v>
      </c>
      <c r="F82" s="18">
        <v>5787</v>
      </c>
      <c r="G82" s="18">
        <v>9147</v>
      </c>
      <c r="H82" s="18">
        <v>14934</v>
      </c>
      <c r="I82" s="18">
        <v>910</v>
      </c>
      <c r="J82" s="16" t="s">
        <v>61</v>
      </c>
      <c r="K82" s="16" t="s">
        <v>37</v>
      </c>
      <c r="L82" s="16"/>
    </row>
    <row r="83" spans="1:12" x14ac:dyDescent="0.3">
      <c r="A83" s="19" t="s">
        <v>138</v>
      </c>
      <c r="B83" s="20">
        <v>42255</v>
      </c>
      <c r="C83" s="19" t="s">
        <v>33</v>
      </c>
      <c r="D83" s="19" t="s">
        <v>68</v>
      </c>
      <c r="E83" s="19" t="s">
        <v>60</v>
      </c>
      <c r="F83" s="21">
        <v>5573</v>
      </c>
      <c r="G83" s="21">
        <v>11372</v>
      </c>
      <c r="H83" s="21">
        <v>16945</v>
      </c>
      <c r="I83" s="21">
        <v>16945</v>
      </c>
      <c r="J83" s="19" t="s">
        <v>61</v>
      </c>
      <c r="K83" s="19" t="s">
        <v>42</v>
      </c>
      <c r="L83" s="19">
        <v>29</v>
      </c>
    </row>
    <row r="84" spans="1:12" x14ac:dyDescent="0.3">
      <c r="A84" s="16" t="s">
        <v>139</v>
      </c>
      <c r="B84" s="17">
        <v>42257</v>
      </c>
      <c r="C84" s="16" t="s">
        <v>54</v>
      </c>
      <c r="D84" s="16" t="s">
        <v>59</v>
      </c>
      <c r="E84" s="16" t="s">
        <v>41</v>
      </c>
      <c r="F84" s="18">
        <v>1647</v>
      </c>
      <c r="G84" s="18">
        <v>13786</v>
      </c>
      <c r="H84" s="18">
        <v>15433</v>
      </c>
      <c r="I84" s="18">
        <v>15433</v>
      </c>
      <c r="J84" s="16" t="s">
        <v>64</v>
      </c>
      <c r="K84" s="16" t="s">
        <v>42</v>
      </c>
      <c r="L84" s="16">
        <v>22</v>
      </c>
    </row>
    <row r="85" spans="1:12" x14ac:dyDescent="0.3">
      <c r="A85" s="19" t="s">
        <v>140</v>
      </c>
      <c r="B85" s="20">
        <v>42266</v>
      </c>
      <c r="C85" s="19" t="s">
        <v>33</v>
      </c>
      <c r="D85" s="19" t="s">
        <v>56</v>
      </c>
      <c r="E85" s="19" t="s">
        <v>46</v>
      </c>
      <c r="F85" s="21">
        <v>2126</v>
      </c>
      <c r="G85" s="21">
        <v>5786</v>
      </c>
      <c r="H85" s="21">
        <v>7912</v>
      </c>
      <c r="I85" s="21">
        <v>7912</v>
      </c>
      <c r="J85" s="19" t="s">
        <v>61</v>
      </c>
      <c r="K85" s="19" t="s">
        <v>42</v>
      </c>
      <c r="L85" s="19">
        <v>11</v>
      </c>
    </row>
    <row r="86" spans="1:12" x14ac:dyDescent="0.3">
      <c r="A86" s="16" t="s">
        <v>141</v>
      </c>
      <c r="B86" s="17">
        <v>42292</v>
      </c>
      <c r="C86" s="16" t="s">
        <v>39</v>
      </c>
      <c r="D86" s="16" t="s">
        <v>49</v>
      </c>
      <c r="E86" s="16" t="s">
        <v>52</v>
      </c>
      <c r="F86" s="18">
        <v>4624</v>
      </c>
      <c r="G86" s="18">
        <v>8671</v>
      </c>
      <c r="H86" s="18">
        <v>13295</v>
      </c>
      <c r="I86" s="18">
        <v>13295</v>
      </c>
      <c r="J86" s="16" t="s">
        <v>64</v>
      </c>
      <c r="K86" s="16" t="s">
        <v>42</v>
      </c>
      <c r="L86" s="16">
        <v>15</v>
      </c>
    </row>
    <row r="87" spans="1:12" x14ac:dyDescent="0.3">
      <c r="A87" s="19" t="s">
        <v>142</v>
      </c>
      <c r="B87" s="20">
        <v>42296</v>
      </c>
      <c r="C87" s="19" t="s">
        <v>33</v>
      </c>
      <c r="D87" s="19" t="s">
        <v>59</v>
      </c>
      <c r="E87" s="19" t="s">
        <v>46</v>
      </c>
      <c r="F87" s="21">
        <v>5005</v>
      </c>
      <c r="G87" s="21">
        <v>2914</v>
      </c>
      <c r="H87" s="21">
        <v>7919</v>
      </c>
      <c r="I87" s="21">
        <v>375</v>
      </c>
      <c r="J87" s="19" t="s">
        <v>36</v>
      </c>
      <c r="K87" s="19" t="s">
        <v>37</v>
      </c>
      <c r="L87" s="19"/>
    </row>
    <row r="88" spans="1:12" x14ac:dyDescent="0.3">
      <c r="A88" s="16" t="s">
        <v>143</v>
      </c>
      <c r="B88" s="17">
        <v>42305</v>
      </c>
      <c r="C88" s="16" t="s">
        <v>58</v>
      </c>
      <c r="D88" s="16" t="s">
        <v>59</v>
      </c>
      <c r="E88" s="16" t="s">
        <v>46</v>
      </c>
      <c r="F88" s="18">
        <v>1003</v>
      </c>
      <c r="G88" s="18">
        <v>3438</v>
      </c>
      <c r="H88" s="18">
        <v>4441</v>
      </c>
      <c r="I88" s="18">
        <v>4441</v>
      </c>
      <c r="J88" s="16" t="s">
        <v>47</v>
      </c>
      <c r="K88" s="16" t="s">
        <v>42</v>
      </c>
      <c r="L88" s="16">
        <v>25</v>
      </c>
    </row>
    <row r="89" spans="1:12" x14ac:dyDescent="0.3">
      <c r="A89" s="19" t="s">
        <v>144</v>
      </c>
      <c r="B89" s="20">
        <v>42316</v>
      </c>
      <c r="C89" s="19" t="s">
        <v>39</v>
      </c>
      <c r="D89" s="19" t="s">
        <v>56</v>
      </c>
      <c r="E89" s="19" t="s">
        <v>41</v>
      </c>
      <c r="F89" s="21">
        <v>5897</v>
      </c>
      <c r="G89" s="21">
        <v>9251</v>
      </c>
      <c r="H89" s="21">
        <v>15148</v>
      </c>
      <c r="I89" s="21">
        <v>15148</v>
      </c>
      <c r="J89" s="19" t="s">
        <v>47</v>
      </c>
      <c r="K89" s="19" t="s">
        <v>42</v>
      </c>
      <c r="L89" s="19">
        <v>29</v>
      </c>
    </row>
    <row r="90" spans="1:12" x14ac:dyDescent="0.3">
      <c r="A90" s="16" t="s">
        <v>145</v>
      </c>
      <c r="B90" s="17">
        <v>42318</v>
      </c>
      <c r="C90" s="16" t="s">
        <v>39</v>
      </c>
      <c r="D90" s="16" t="s">
        <v>68</v>
      </c>
      <c r="E90" s="16" t="s">
        <v>46</v>
      </c>
      <c r="F90" s="18">
        <v>4165</v>
      </c>
      <c r="G90" s="18">
        <v>6468</v>
      </c>
      <c r="H90" s="18">
        <v>10633</v>
      </c>
      <c r="I90" s="18">
        <v>10633</v>
      </c>
      <c r="J90" s="16" t="s">
        <v>61</v>
      </c>
      <c r="K90" s="16" t="s">
        <v>42</v>
      </c>
      <c r="L90" s="16">
        <v>14</v>
      </c>
    </row>
    <row r="91" spans="1:12" x14ac:dyDescent="0.3">
      <c r="A91" s="19" t="s">
        <v>146</v>
      </c>
      <c r="B91" s="20">
        <v>42340</v>
      </c>
      <c r="C91" s="19" t="s">
        <v>468</v>
      </c>
      <c r="D91" s="19" t="s">
        <v>40</v>
      </c>
      <c r="E91" s="19" t="s">
        <v>50</v>
      </c>
      <c r="F91" s="21">
        <v>2805</v>
      </c>
      <c r="G91" s="21">
        <v>3177</v>
      </c>
      <c r="H91" s="21">
        <v>5982</v>
      </c>
      <c r="I91" s="21">
        <v>1554</v>
      </c>
      <c r="J91" s="19" t="s">
        <v>61</v>
      </c>
      <c r="K91" s="19" t="s">
        <v>37</v>
      </c>
      <c r="L91" s="19"/>
    </row>
    <row r="92" spans="1:12" x14ac:dyDescent="0.3">
      <c r="A92" s="16" t="s">
        <v>147</v>
      </c>
      <c r="B92" s="17">
        <v>42346</v>
      </c>
      <c r="C92" s="16" t="s">
        <v>54</v>
      </c>
      <c r="D92" s="16" t="s">
        <v>56</v>
      </c>
      <c r="E92" s="16" t="s">
        <v>60</v>
      </c>
      <c r="F92" s="18">
        <v>6596</v>
      </c>
      <c r="G92" s="18">
        <v>7672</v>
      </c>
      <c r="H92" s="18">
        <v>14268</v>
      </c>
      <c r="I92" s="18">
        <v>4293</v>
      </c>
      <c r="J92" s="16" t="s">
        <v>36</v>
      </c>
      <c r="K92" s="16" t="s">
        <v>37</v>
      </c>
      <c r="L92" s="16"/>
    </row>
    <row r="93" spans="1:12" x14ac:dyDescent="0.3">
      <c r="A93" s="19" t="s">
        <v>148</v>
      </c>
      <c r="B93" s="20">
        <v>42360</v>
      </c>
      <c r="C93" s="19" t="s">
        <v>468</v>
      </c>
      <c r="D93" s="19" t="s">
        <v>59</v>
      </c>
      <c r="E93" s="19" t="s">
        <v>35</v>
      </c>
      <c r="F93" s="21">
        <v>1211</v>
      </c>
      <c r="G93" s="21">
        <v>9632</v>
      </c>
      <c r="H93" s="21">
        <v>10843</v>
      </c>
      <c r="I93" s="21">
        <v>10843</v>
      </c>
      <c r="J93" s="19" t="s">
        <v>64</v>
      </c>
      <c r="K93" s="19" t="s">
        <v>42</v>
      </c>
      <c r="L93" s="19">
        <v>29</v>
      </c>
    </row>
    <row r="94" spans="1:12" x14ac:dyDescent="0.3">
      <c r="A94" s="16" t="s">
        <v>149</v>
      </c>
      <c r="B94" s="17">
        <v>42360</v>
      </c>
      <c r="C94" s="16" t="s">
        <v>54</v>
      </c>
      <c r="D94" s="16" t="s">
        <v>45</v>
      </c>
      <c r="E94" s="16" t="s">
        <v>52</v>
      </c>
      <c r="F94" s="18">
        <v>4052</v>
      </c>
      <c r="G94" s="18">
        <v>13409</v>
      </c>
      <c r="H94" s="18">
        <v>17461</v>
      </c>
      <c r="I94" s="18">
        <v>3052</v>
      </c>
      <c r="J94" s="16" t="s">
        <v>61</v>
      </c>
      <c r="K94" s="16" t="s">
        <v>37</v>
      </c>
      <c r="L94" s="16"/>
    </row>
    <row r="95" spans="1:12" x14ac:dyDescent="0.3">
      <c r="A95" s="19" t="s">
        <v>150</v>
      </c>
      <c r="B95" s="20">
        <v>42361</v>
      </c>
      <c r="C95" s="19" t="s">
        <v>468</v>
      </c>
      <c r="D95" s="19" t="s">
        <v>40</v>
      </c>
      <c r="E95" s="19" t="s">
        <v>46</v>
      </c>
      <c r="F95" s="21">
        <v>3012</v>
      </c>
      <c r="G95" s="21">
        <v>10591</v>
      </c>
      <c r="H95" s="21">
        <v>13603</v>
      </c>
      <c r="I95" s="21">
        <v>3808</v>
      </c>
      <c r="J95" s="19" t="s">
        <v>47</v>
      </c>
      <c r="K95" s="19" t="s">
        <v>37</v>
      </c>
      <c r="L95" s="19"/>
    </row>
    <row r="96" spans="1:12" x14ac:dyDescent="0.3">
      <c r="A96" s="16" t="s">
        <v>151</v>
      </c>
      <c r="B96" s="17">
        <v>42378</v>
      </c>
      <c r="C96" s="16" t="s">
        <v>33</v>
      </c>
      <c r="D96" s="16" t="s">
        <v>40</v>
      </c>
      <c r="E96" s="16" t="s">
        <v>71</v>
      </c>
      <c r="F96" s="18">
        <v>7045</v>
      </c>
      <c r="G96" s="18">
        <v>5562</v>
      </c>
      <c r="H96" s="18">
        <v>12607</v>
      </c>
      <c r="I96" s="18">
        <v>12607</v>
      </c>
      <c r="J96" s="16" t="s">
        <v>64</v>
      </c>
      <c r="K96" s="16" t="s">
        <v>42</v>
      </c>
      <c r="L96" s="16">
        <v>11</v>
      </c>
    </row>
    <row r="97" spans="1:12" x14ac:dyDescent="0.3">
      <c r="A97" s="19" t="s">
        <v>152</v>
      </c>
      <c r="B97" s="20">
        <v>42385</v>
      </c>
      <c r="C97" s="19" t="s">
        <v>58</v>
      </c>
      <c r="D97" s="19" t="s">
        <v>59</v>
      </c>
      <c r="E97" s="19" t="s">
        <v>41</v>
      </c>
      <c r="F97" s="21">
        <v>4919</v>
      </c>
      <c r="G97" s="21">
        <v>14724</v>
      </c>
      <c r="H97" s="21">
        <v>19643</v>
      </c>
      <c r="I97" s="21">
        <v>19643</v>
      </c>
      <c r="J97" s="19" t="s">
        <v>64</v>
      </c>
      <c r="K97" s="19" t="s">
        <v>42</v>
      </c>
      <c r="L97" s="19">
        <v>26</v>
      </c>
    </row>
    <row r="98" spans="1:12" x14ac:dyDescent="0.3">
      <c r="A98" s="16" t="s">
        <v>153</v>
      </c>
      <c r="B98" s="17">
        <v>42398</v>
      </c>
      <c r="C98" s="16" t="s">
        <v>58</v>
      </c>
      <c r="D98" s="16" t="s">
        <v>56</v>
      </c>
      <c r="E98" s="16" t="s">
        <v>52</v>
      </c>
      <c r="F98" s="18">
        <v>6850</v>
      </c>
      <c r="G98" s="18">
        <v>8433</v>
      </c>
      <c r="H98" s="18">
        <v>15283</v>
      </c>
      <c r="I98" s="18">
        <v>15283</v>
      </c>
      <c r="J98" s="16" t="s">
        <v>61</v>
      </c>
      <c r="K98" s="16" t="s">
        <v>42</v>
      </c>
      <c r="L98" s="16">
        <v>23</v>
      </c>
    </row>
    <row r="99" spans="1:12" x14ac:dyDescent="0.3">
      <c r="A99" s="19" t="s">
        <v>154</v>
      </c>
      <c r="B99" s="20">
        <v>42401</v>
      </c>
      <c r="C99" s="19" t="s">
        <v>54</v>
      </c>
      <c r="D99" s="19" t="s">
        <v>49</v>
      </c>
      <c r="E99" s="19" t="s">
        <v>41</v>
      </c>
      <c r="F99" s="21">
        <v>1356</v>
      </c>
      <c r="G99" s="21">
        <v>11562</v>
      </c>
      <c r="H99" s="21">
        <v>12918</v>
      </c>
      <c r="I99" s="21">
        <v>12918</v>
      </c>
      <c r="J99" s="19" t="s">
        <v>64</v>
      </c>
      <c r="K99" s="19" t="s">
        <v>42</v>
      </c>
      <c r="L99" s="19">
        <v>12</v>
      </c>
    </row>
    <row r="100" spans="1:12" x14ac:dyDescent="0.3">
      <c r="A100" s="16" t="s">
        <v>155</v>
      </c>
      <c r="B100" s="17">
        <v>42420</v>
      </c>
      <c r="C100" s="16" t="s">
        <v>468</v>
      </c>
      <c r="D100" s="16" t="s">
        <v>49</v>
      </c>
      <c r="E100" s="16" t="s">
        <v>60</v>
      </c>
      <c r="F100" s="18">
        <v>6913</v>
      </c>
      <c r="G100" s="18">
        <v>14906</v>
      </c>
      <c r="H100" s="18">
        <v>21819</v>
      </c>
      <c r="I100" s="18">
        <v>21819</v>
      </c>
      <c r="J100" s="16" t="s">
        <v>64</v>
      </c>
      <c r="K100" s="16" t="s">
        <v>42</v>
      </c>
      <c r="L100" s="16">
        <v>27</v>
      </c>
    </row>
    <row r="101" spans="1:12" x14ac:dyDescent="0.3">
      <c r="A101" s="19" t="s">
        <v>156</v>
      </c>
      <c r="B101" s="20">
        <v>42435</v>
      </c>
      <c r="C101" s="19" t="s">
        <v>33</v>
      </c>
      <c r="D101" s="19" t="s">
        <v>56</v>
      </c>
      <c r="E101" s="19" t="s">
        <v>60</v>
      </c>
      <c r="F101" s="21">
        <v>3756</v>
      </c>
      <c r="G101" s="21">
        <v>3439</v>
      </c>
      <c r="H101" s="21">
        <v>7195</v>
      </c>
      <c r="I101" s="21">
        <v>7195</v>
      </c>
      <c r="J101" s="19" t="s">
        <v>36</v>
      </c>
      <c r="K101" s="19" t="s">
        <v>42</v>
      </c>
      <c r="L101" s="19">
        <v>0</v>
      </c>
    </row>
    <row r="102" spans="1:12" x14ac:dyDescent="0.3">
      <c r="A102" s="16" t="s">
        <v>157</v>
      </c>
      <c r="B102" s="17">
        <v>42450</v>
      </c>
      <c r="C102" s="16" t="s">
        <v>39</v>
      </c>
      <c r="D102" s="16" t="s">
        <v>68</v>
      </c>
      <c r="E102" s="16" t="s">
        <v>46</v>
      </c>
      <c r="F102" s="18">
        <v>5261</v>
      </c>
      <c r="G102" s="18">
        <v>4183</v>
      </c>
      <c r="H102" s="18">
        <v>9444</v>
      </c>
      <c r="I102" s="18">
        <v>9444</v>
      </c>
      <c r="J102" s="16" t="s">
        <v>61</v>
      </c>
      <c r="K102" s="16" t="s">
        <v>42</v>
      </c>
      <c r="L102" s="16">
        <v>29</v>
      </c>
    </row>
    <row r="103" spans="1:12" x14ac:dyDescent="0.3">
      <c r="A103" s="19" t="s">
        <v>158</v>
      </c>
      <c r="B103" s="20">
        <v>42455</v>
      </c>
      <c r="C103" s="19" t="s">
        <v>58</v>
      </c>
      <c r="D103" s="19" t="s">
        <v>68</v>
      </c>
      <c r="E103" s="19" t="s">
        <v>35</v>
      </c>
      <c r="F103" s="21">
        <v>1178</v>
      </c>
      <c r="G103" s="21">
        <v>4511</v>
      </c>
      <c r="H103" s="21">
        <v>5689</v>
      </c>
      <c r="I103" s="21">
        <v>2503</v>
      </c>
      <c r="J103" s="19" t="s">
        <v>64</v>
      </c>
      <c r="K103" s="19" t="s">
        <v>37</v>
      </c>
      <c r="L103" s="19"/>
    </row>
    <row r="104" spans="1:12" x14ac:dyDescent="0.3">
      <c r="A104" s="16" t="s">
        <v>159</v>
      </c>
      <c r="B104" s="17">
        <v>42457</v>
      </c>
      <c r="C104" s="16" t="s">
        <v>468</v>
      </c>
      <c r="D104" s="16" t="s">
        <v>56</v>
      </c>
      <c r="E104" s="16" t="s">
        <v>46</v>
      </c>
      <c r="F104" s="18">
        <v>7951</v>
      </c>
      <c r="G104" s="18">
        <v>4596</v>
      </c>
      <c r="H104" s="18">
        <v>12547</v>
      </c>
      <c r="I104" s="18">
        <v>12547</v>
      </c>
      <c r="J104" s="16" t="s">
        <v>47</v>
      </c>
      <c r="K104" s="16" t="s">
        <v>42</v>
      </c>
      <c r="L104" s="16">
        <v>20</v>
      </c>
    </row>
    <row r="105" spans="1:12" x14ac:dyDescent="0.3">
      <c r="A105" s="19" t="s">
        <v>160</v>
      </c>
      <c r="B105" s="20">
        <v>42457</v>
      </c>
      <c r="C105" s="19" t="s">
        <v>54</v>
      </c>
      <c r="D105" s="19" t="s">
        <v>470</v>
      </c>
      <c r="E105" s="19" t="s">
        <v>60</v>
      </c>
      <c r="F105" s="21">
        <v>3340</v>
      </c>
      <c r="G105" s="21">
        <v>8944</v>
      </c>
      <c r="H105" s="21">
        <v>12284</v>
      </c>
      <c r="I105" s="21">
        <v>4448</v>
      </c>
      <c r="J105" s="19" t="s">
        <v>47</v>
      </c>
      <c r="K105" s="19" t="s">
        <v>37</v>
      </c>
      <c r="L105" s="19"/>
    </row>
    <row r="106" spans="1:12" x14ac:dyDescent="0.3">
      <c r="A106" s="16" t="s">
        <v>161</v>
      </c>
      <c r="B106" s="17">
        <v>42475</v>
      </c>
      <c r="C106" s="16" t="s">
        <v>39</v>
      </c>
      <c r="D106" s="16" t="s">
        <v>49</v>
      </c>
      <c r="E106" s="16" t="s">
        <v>41</v>
      </c>
      <c r="F106" s="18">
        <v>7148</v>
      </c>
      <c r="G106" s="18">
        <v>10518</v>
      </c>
      <c r="H106" s="18">
        <v>17666</v>
      </c>
      <c r="I106" s="18">
        <v>1020</v>
      </c>
      <c r="J106" s="16" t="s">
        <v>36</v>
      </c>
      <c r="K106" s="16" t="s">
        <v>37</v>
      </c>
      <c r="L106" s="16"/>
    </row>
    <row r="107" spans="1:12" x14ac:dyDescent="0.3">
      <c r="A107" s="19" t="s">
        <v>162</v>
      </c>
      <c r="B107" s="20">
        <v>42476</v>
      </c>
      <c r="C107" s="19" t="s">
        <v>33</v>
      </c>
      <c r="D107" s="19" t="s">
        <v>56</v>
      </c>
      <c r="E107" s="19" t="s">
        <v>35</v>
      </c>
      <c r="F107" s="21">
        <v>2975</v>
      </c>
      <c r="G107" s="21">
        <v>6984</v>
      </c>
      <c r="H107" s="21">
        <v>9959</v>
      </c>
      <c r="I107" s="21">
        <v>9959</v>
      </c>
      <c r="J107" s="19" t="s">
        <v>61</v>
      </c>
      <c r="K107" s="19" t="s">
        <v>42</v>
      </c>
      <c r="L107" s="19">
        <v>21</v>
      </c>
    </row>
    <row r="108" spans="1:12" x14ac:dyDescent="0.3">
      <c r="A108" s="16" t="s">
        <v>163</v>
      </c>
      <c r="B108" s="17">
        <v>42477</v>
      </c>
      <c r="C108" s="16" t="s">
        <v>33</v>
      </c>
      <c r="D108" s="16" t="s">
        <v>56</v>
      </c>
      <c r="E108" s="16" t="s">
        <v>52</v>
      </c>
      <c r="F108" s="18">
        <v>7086</v>
      </c>
      <c r="G108" s="18">
        <v>2748</v>
      </c>
      <c r="H108" s="18">
        <v>9834</v>
      </c>
      <c r="I108" s="18">
        <v>9834</v>
      </c>
      <c r="J108" s="16" t="s">
        <v>61</v>
      </c>
      <c r="K108" s="16" t="s">
        <v>42</v>
      </c>
      <c r="L108" s="16">
        <v>9</v>
      </c>
    </row>
    <row r="109" spans="1:12" x14ac:dyDescent="0.3">
      <c r="A109" s="19" t="s">
        <v>164</v>
      </c>
      <c r="B109" s="20">
        <v>42480</v>
      </c>
      <c r="C109" s="19" t="s">
        <v>54</v>
      </c>
      <c r="D109" s="19" t="s">
        <v>45</v>
      </c>
      <c r="E109" s="19" t="s">
        <v>46</v>
      </c>
      <c r="F109" s="21">
        <v>7068</v>
      </c>
      <c r="G109" s="21">
        <v>9580</v>
      </c>
      <c r="H109" s="21">
        <v>16648</v>
      </c>
      <c r="I109" s="21">
        <v>16648</v>
      </c>
      <c r="J109" s="19" t="s">
        <v>36</v>
      </c>
      <c r="K109" s="19" t="s">
        <v>42</v>
      </c>
      <c r="L109" s="19">
        <v>18</v>
      </c>
    </row>
    <row r="110" spans="1:12" x14ac:dyDescent="0.3">
      <c r="A110" s="16" t="s">
        <v>165</v>
      </c>
      <c r="B110" s="17">
        <v>42489</v>
      </c>
      <c r="C110" s="16" t="s">
        <v>468</v>
      </c>
      <c r="D110" s="16" t="s">
        <v>470</v>
      </c>
      <c r="E110" s="16" t="s">
        <v>35</v>
      </c>
      <c r="F110" s="18">
        <v>6224</v>
      </c>
      <c r="G110" s="18">
        <v>8337</v>
      </c>
      <c r="H110" s="18">
        <v>14561</v>
      </c>
      <c r="I110" s="18">
        <v>2570</v>
      </c>
      <c r="J110" s="16" t="s">
        <v>36</v>
      </c>
      <c r="K110" s="16" t="s">
        <v>37</v>
      </c>
      <c r="L110" s="16"/>
    </row>
    <row r="111" spans="1:12" x14ac:dyDescent="0.3">
      <c r="A111" s="19" t="s">
        <v>166</v>
      </c>
      <c r="B111" s="20">
        <v>42489</v>
      </c>
      <c r="C111" s="19" t="s">
        <v>39</v>
      </c>
      <c r="D111" s="19" t="s">
        <v>470</v>
      </c>
      <c r="E111" s="19" t="s">
        <v>41</v>
      </c>
      <c r="F111" s="21">
        <v>4730</v>
      </c>
      <c r="G111" s="21">
        <v>6214</v>
      </c>
      <c r="H111" s="21">
        <v>10944</v>
      </c>
      <c r="I111" s="21">
        <v>10944</v>
      </c>
      <c r="J111" s="19" t="s">
        <v>64</v>
      </c>
      <c r="K111" s="19" t="s">
        <v>42</v>
      </c>
      <c r="L111" s="19">
        <v>9</v>
      </c>
    </row>
    <row r="112" spans="1:12" x14ac:dyDescent="0.3">
      <c r="A112" s="16" t="s">
        <v>167</v>
      </c>
      <c r="B112" s="17">
        <v>42502</v>
      </c>
      <c r="C112" s="16" t="s">
        <v>33</v>
      </c>
      <c r="D112" s="16" t="s">
        <v>56</v>
      </c>
      <c r="E112" s="16" t="s">
        <v>60</v>
      </c>
      <c r="F112" s="18">
        <v>6431</v>
      </c>
      <c r="G112" s="18">
        <v>10891</v>
      </c>
      <c r="H112" s="18">
        <v>17322</v>
      </c>
      <c r="I112" s="18">
        <v>17322</v>
      </c>
      <c r="J112" s="16" t="s">
        <v>47</v>
      </c>
      <c r="K112" s="16" t="s">
        <v>42</v>
      </c>
      <c r="L112" s="16">
        <v>16</v>
      </c>
    </row>
    <row r="113" spans="1:12" x14ac:dyDescent="0.3">
      <c r="A113" s="19" t="s">
        <v>168</v>
      </c>
      <c r="B113" s="20">
        <v>42508</v>
      </c>
      <c r="C113" s="19" t="s">
        <v>468</v>
      </c>
      <c r="D113" s="19" t="s">
        <v>68</v>
      </c>
      <c r="E113" s="19" t="s">
        <v>46</v>
      </c>
      <c r="F113" s="21">
        <v>1214</v>
      </c>
      <c r="G113" s="21">
        <v>13390</v>
      </c>
      <c r="H113" s="21">
        <v>14604</v>
      </c>
      <c r="I113" s="21">
        <v>14604</v>
      </c>
      <c r="J113" s="19" t="s">
        <v>36</v>
      </c>
      <c r="K113" s="19" t="s">
        <v>42</v>
      </c>
      <c r="L113" s="19">
        <v>7</v>
      </c>
    </row>
    <row r="114" spans="1:12" x14ac:dyDescent="0.3">
      <c r="A114" s="16" t="s">
        <v>169</v>
      </c>
      <c r="B114" s="17">
        <v>42515</v>
      </c>
      <c r="C114" s="16" t="s">
        <v>39</v>
      </c>
      <c r="D114" s="16" t="s">
        <v>68</v>
      </c>
      <c r="E114" s="16" t="s">
        <v>46</v>
      </c>
      <c r="F114" s="18">
        <v>2148</v>
      </c>
      <c r="G114" s="18">
        <v>6709</v>
      </c>
      <c r="H114" s="18">
        <v>8857</v>
      </c>
      <c r="I114" s="18">
        <v>8857</v>
      </c>
      <c r="J114" s="16" t="s">
        <v>61</v>
      </c>
      <c r="K114" s="16" t="s">
        <v>42</v>
      </c>
      <c r="L114" s="16">
        <v>12</v>
      </c>
    </row>
    <row r="115" spans="1:12" x14ac:dyDescent="0.3">
      <c r="A115" s="19" t="s">
        <v>170</v>
      </c>
      <c r="B115" s="20">
        <v>42515</v>
      </c>
      <c r="C115" s="19" t="s">
        <v>468</v>
      </c>
      <c r="D115" s="19" t="s">
        <v>59</v>
      </c>
      <c r="E115" s="19" t="s">
        <v>60</v>
      </c>
      <c r="F115" s="21">
        <v>7302</v>
      </c>
      <c r="G115" s="21">
        <v>13542</v>
      </c>
      <c r="H115" s="21">
        <v>20844</v>
      </c>
      <c r="I115" s="21">
        <v>20844</v>
      </c>
      <c r="J115" s="19" t="s">
        <v>64</v>
      </c>
      <c r="K115" s="19" t="s">
        <v>42</v>
      </c>
      <c r="L115" s="19">
        <v>21</v>
      </c>
    </row>
    <row r="116" spans="1:12" x14ac:dyDescent="0.3">
      <c r="A116" s="16" t="s">
        <v>171</v>
      </c>
      <c r="B116" s="17">
        <v>42521</v>
      </c>
      <c r="C116" s="16" t="s">
        <v>33</v>
      </c>
      <c r="D116" s="16" t="s">
        <v>68</v>
      </c>
      <c r="E116" s="16" t="s">
        <v>41</v>
      </c>
      <c r="F116" s="18">
        <v>1559</v>
      </c>
      <c r="G116" s="18">
        <v>6724</v>
      </c>
      <c r="H116" s="18">
        <v>8283</v>
      </c>
      <c r="I116" s="18">
        <v>8283</v>
      </c>
      <c r="J116" s="16" t="s">
        <v>61</v>
      </c>
      <c r="K116" s="16" t="s">
        <v>42</v>
      </c>
      <c r="L116" s="16">
        <v>11</v>
      </c>
    </row>
    <row r="117" spans="1:12" x14ac:dyDescent="0.3">
      <c r="A117" s="19" t="s">
        <v>172</v>
      </c>
      <c r="B117" s="20">
        <v>42531</v>
      </c>
      <c r="C117" s="19" t="s">
        <v>54</v>
      </c>
      <c r="D117" s="19" t="s">
        <v>49</v>
      </c>
      <c r="E117" s="19" t="s">
        <v>52</v>
      </c>
      <c r="F117" s="21">
        <v>6827</v>
      </c>
      <c r="G117" s="21">
        <v>9383</v>
      </c>
      <c r="H117" s="21">
        <v>16210</v>
      </c>
      <c r="I117" s="21">
        <v>16210</v>
      </c>
      <c r="J117" s="19" t="s">
        <v>61</v>
      </c>
      <c r="K117" s="19" t="s">
        <v>42</v>
      </c>
      <c r="L117" s="19">
        <v>23</v>
      </c>
    </row>
    <row r="118" spans="1:12" x14ac:dyDescent="0.3">
      <c r="A118" s="16" t="s">
        <v>173</v>
      </c>
      <c r="B118" s="17">
        <v>42534</v>
      </c>
      <c r="C118" s="16" t="s">
        <v>58</v>
      </c>
      <c r="D118" s="16" t="s">
        <v>40</v>
      </c>
      <c r="E118" s="16" t="s">
        <v>41</v>
      </c>
      <c r="F118" s="18">
        <v>6982</v>
      </c>
      <c r="G118" s="18">
        <v>10261</v>
      </c>
      <c r="H118" s="18">
        <v>17243</v>
      </c>
      <c r="I118" s="18">
        <v>17243</v>
      </c>
      <c r="J118" s="16" t="s">
        <v>47</v>
      </c>
      <c r="K118" s="16" t="s">
        <v>42</v>
      </c>
      <c r="L118" s="16">
        <v>16</v>
      </c>
    </row>
    <row r="119" spans="1:12" x14ac:dyDescent="0.3">
      <c r="A119" s="19" t="s">
        <v>174</v>
      </c>
      <c r="B119" s="20">
        <v>42538</v>
      </c>
      <c r="C119" s="19" t="s">
        <v>33</v>
      </c>
      <c r="D119" s="19" t="s">
        <v>59</v>
      </c>
      <c r="E119" s="19" t="s">
        <v>50</v>
      </c>
      <c r="F119" s="21">
        <v>4778</v>
      </c>
      <c r="G119" s="21">
        <v>975</v>
      </c>
      <c r="H119" s="21">
        <v>5753</v>
      </c>
      <c r="I119" s="21">
        <v>1376</v>
      </c>
      <c r="J119" s="19" t="s">
        <v>47</v>
      </c>
      <c r="K119" s="19" t="s">
        <v>37</v>
      </c>
      <c r="L119" s="19"/>
    </row>
    <row r="120" spans="1:12" x14ac:dyDescent="0.3">
      <c r="A120" s="16" t="s">
        <v>175</v>
      </c>
      <c r="B120" s="17">
        <v>42539</v>
      </c>
      <c r="C120" s="16" t="s">
        <v>33</v>
      </c>
      <c r="D120" s="16" t="s">
        <v>45</v>
      </c>
      <c r="E120" s="16" t="s">
        <v>46</v>
      </c>
      <c r="F120" s="18">
        <v>7094</v>
      </c>
      <c r="G120" s="18">
        <v>13213</v>
      </c>
      <c r="H120" s="18">
        <v>20307</v>
      </c>
      <c r="I120" s="18">
        <v>20307</v>
      </c>
      <c r="J120" s="16" t="s">
        <v>64</v>
      </c>
      <c r="K120" s="16" t="s">
        <v>42</v>
      </c>
      <c r="L120" s="16">
        <v>7</v>
      </c>
    </row>
    <row r="121" spans="1:12" x14ac:dyDescent="0.3">
      <c r="A121" s="19" t="s">
        <v>176</v>
      </c>
      <c r="B121" s="20">
        <v>42546</v>
      </c>
      <c r="C121" s="19" t="s">
        <v>54</v>
      </c>
      <c r="D121" s="19" t="s">
        <v>40</v>
      </c>
      <c r="E121" s="19" t="s">
        <v>52</v>
      </c>
      <c r="F121" s="21">
        <v>7549</v>
      </c>
      <c r="G121" s="21">
        <v>8106</v>
      </c>
      <c r="H121" s="21">
        <v>15655</v>
      </c>
      <c r="I121" s="21">
        <v>15655</v>
      </c>
      <c r="J121" s="19" t="s">
        <v>47</v>
      </c>
      <c r="K121" s="19" t="s">
        <v>42</v>
      </c>
      <c r="L121" s="19">
        <v>20</v>
      </c>
    </row>
    <row r="122" spans="1:12" x14ac:dyDescent="0.3">
      <c r="A122" s="16" t="s">
        <v>177</v>
      </c>
      <c r="B122" s="17">
        <v>42552</v>
      </c>
      <c r="C122" s="16" t="s">
        <v>54</v>
      </c>
      <c r="D122" s="16" t="s">
        <v>45</v>
      </c>
      <c r="E122" s="16" t="s">
        <v>41</v>
      </c>
      <c r="F122" s="18">
        <v>986</v>
      </c>
      <c r="G122" s="18">
        <v>5388</v>
      </c>
      <c r="H122" s="18">
        <v>6374</v>
      </c>
      <c r="I122" s="18">
        <v>2758</v>
      </c>
      <c r="J122" s="16" t="s">
        <v>47</v>
      </c>
      <c r="K122" s="16" t="s">
        <v>37</v>
      </c>
      <c r="L122" s="16"/>
    </row>
    <row r="123" spans="1:12" x14ac:dyDescent="0.3">
      <c r="A123" s="19" t="s">
        <v>178</v>
      </c>
      <c r="B123" s="20">
        <v>42558</v>
      </c>
      <c r="C123" s="19" t="s">
        <v>54</v>
      </c>
      <c r="D123" s="19" t="s">
        <v>45</v>
      </c>
      <c r="E123" s="19" t="s">
        <v>71</v>
      </c>
      <c r="F123" s="21">
        <v>6139</v>
      </c>
      <c r="G123" s="21">
        <v>1159</v>
      </c>
      <c r="H123" s="21">
        <v>7298</v>
      </c>
      <c r="I123" s="21">
        <v>7298</v>
      </c>
      <c r="J123" s="19" t="s">
        <v>36</v>
      </c>
      <c r="K123" s="19" t="s">
        <v>42</v>
      </c>
      <c r="L123" s="19">
        <v>30</v>
      </c>
    </row>
    <row r="124" spans="1:12" x14ac:dyDescent="0.3">
      <c r="A124" s="16" t="s">
        <v>179</v>
      </c>
      <c r="B124" s="17">
        <v>42566</v>
      </c>
      <c r="C124" s="16" t="s">
        <v>39</v>
      </c>
      <c r="D124" s="16" t="s">
        <v>45</v>
      </c>
      <c r="E124" s="16" t="s">
        <v>52</v>
      </c>
      <c r="F124" s="18">
        <v>5395</v>
      </c>
      <c r="G124" s="18">
        <v>13073</v>
      </c>
      <c r="H124" s="18">
        <v>18468</v>
      </c>
      <c r="I124" s="18">
        <v>18468</v>
      </c>
      <c r="J124" s="16" t="s">
        <v>61</v>
      </c>
      <c r="K124" s="16" t="s">
        <v>42</v>
      </c>
      <c r="L124" s="16">
        <v>19</v>
      </c>
    </row>
    <row r="125" spans="1:12" x14ac:dyDescent="0.3">
      <c r="A125" s="19" t="s">
        <v>180</v>
      </c>
      <c r="B125" s="20">
        <v>42567</v>
      </c>
      <c r="C125" s="19" t="s">
        <v>58</v>
      </c>
      <c r="D125" s="19" t="s">
        <v>56</v>
      </c>
      <c r="E125" s="19" t="s">
        <v>50</v>
      </c>
      <c r="F125" s="21">
        <v>1432</v>
      </c>
      <c r="G125" s="21">
        <v>5346</v>
      </c>
      <c r="H125" s="21">
        <v>6778</v>
      </c>
      <c r="I125" s="21">
        <v>6778</v>
      </c>
      <c r="J125" s="19" t="s">
        <v>64</v>
      </c>
      <c r="K125" s="19" t="s">
        <v>42</v>
      </c>
      <c r="L125" s="19">
        <v>16</v>
      </c>
    </row>
    <row r="126" spans="1:12" x14ac:dyDescent="0.3">
      <c r="A126" s="16" t="s">
        <v>181</v>
      </c>
      <c r="B126" s="17">
        <v>42573</v>
      </c>
      <c r="C126" s="16" t="s">
        <v>33</v>
      </c>
      <c r="D126" s="16" t="s">
        <v>68</v>
      </c>
      <c r="E126" s="16" t="s">
        <v>35</v>
      </c>
      <c r="F126" s="18">
        <v>7806</v>
      </c>
      <c r="G126" s="18">
        <v>4314</v>
      </c>
      <c r="H126" s="18">
        <v>12120</v>
      </c>
      <c r="I126" s="18">
        <v>12120</v>
      </c>
      <c r="J126" s="16" t="s">
        <v>61</v>
      </c>
      <c r="K126" s="16" t="s">
        <v>42</v>
      </c>
      <c r="L126" s="16">
        <v>12</v>
      </c>
    </row>
    <row r="127" spans="1:12" x14ac:dyDescent="0.3">
      <c r="A127" s="19" t="s">
        <v>182</v>
      </c>
      <c r="B127" s="20">
        <v>42594</v>
      </c>
      <c r="C127" s="19" t="s">
        <v>33</v>
      </c>
      <c r="D127" s="19" t="s">
        <v>45</v>
      </c>
      <c r="E127" s="19" t="s">
        <v>71</v>
      </c>
      <c r="F127" s="21">
        <v>2008</v>
      </c>
      <c r="G127" s="21">
        <v>13421</v>
      </c>
      <c r="H127" s="21">
        <v>15429</v>
      </c>
      <c r="I127" s="21">
        <v>15429</v>
      </c>
      <c r="J127" s="19" t="s">
        <v>36</v>
      </c>
      <c r="K127" s="19" t="s">
        <v>42</v>
      </c>
      <c r="L127" s="19">
        <v>8</v>
      </c>
    </row>
    <row r="128" spans="1:12" x14ac:dyDescent="0.3">
      <c r="A128" s="16" t="s">
        <v>183</v>
      </c>
      <c r="B128" s="17">
        <v>42607</v>
      </c>
      <c r="C128" s="16" t="s">
        <v>54</v>
      </c>
      <c r="D128" s="16" t="s">
        <v>40</v>
      </c>
      <c r="E128" s="16" t="s">
        <v>50</v>
      </c>
      <c r="F128" s="18">
        <v>1768</v>
      </c>
      <c r="G128" s="18">
        <v>8125</v>
      </c>
      <c r="H128" s="18">
        <v>9893</v>
      </c>
      <c r="I128" s="18">
        <v>9893</v>
      </c>
      <c r="J128" s="16" t="s">
        <v>47</v>
      </c>
      <c r="K128" s="16" t="s">
        <v>42</v>
      </c>
      <c r="L128" s="16">
        <v>5</v>
      </c>
    </row>
    <row r="129" spans="1:12" x14ac:dyDescent="0.3">
      <c r="A129" s="19" t="s">
        <v>184</v>
      </c>
      <c r="B129" s="20">
        <v>42614</v>
      </c>
      <c r="C129" s="19" t="s">
        <v>468</v>
      </c>
      <c r="D129" s="19" t="s">
        <v>470</v>
      </c>
      <c r="E129" s="19" t="s">
        <v>50</v>
      </c>
      <c r="F129" s="21">
        <v>929</v>
      </c>
      <c r="G129" s="21">
        <v>3354</v>
      </c>
      <c r="H129" s="21">
        <v>4283</v>
      </c>
      <c r="I129" s="21">
        <v>4283</v>
      </c>
      <c r="J129" s="19" t="s">
        <v>36</v>
      </c>
      <c r="K129" s="19" t="s">
        <v>42</v>
      </c>
      <c r="L129" s="19">
        <v>1</v>
      </c>
    </row>
    <row r="130" spans="1:12" x14ac:dyDescent="0.3">
      <c r="A130" s="16" t="s">
        <v>185</v>
      </c>
      <c r="B130" s="17">
        <v>42620</v>
      </c>
      <c r="C130" s="16" t="s">
        <v>58</v>
      </c>
      <c r="D130" s="16" t="s">
        <v>470</v>
      </c>
      <c r="E130" s="16" t="s">
        <v>46</v>
      </c>
      <c r="F130" s="18">
        <v>5312</v>
      </c>
      <c r="G130" s="18">
        <v>724</v>
      </c>
      <c r="H130" s="18">
        <v>6036</v>
      </c>
      <c r="I130" s="18">
        <v>381</v>
      </c>
      <c r="J130" s="16" t="s">
        <v>36</v>
      </c>
      <c r="K130" s="16" t="s">
        <v>37</v>
      </c>
      <c r="L130" s="16"/>
    </row>
    <row r="131" spans="1:12" x14ac:dyDescent="0.3">
      <c r="A131" s="19" t="s">
        <v>186</v>
      </c>
      <c r="B131" s="20">
        <v>42624</v>
      </c>
      <c r="C131" s="19" t="s">
        <v>39</v>
      </c>
      <c r="D131" s="19" t="s">
        <v>40</v>
      </c>
      <c r="E131" s="19" t="s">
        <v>52</v>
      </c>
      <c r="F131" s="21">
        <v>6631</v>
      </c>
      <c r="G131" s="21">
        <v>8541</v>
      </c>
      <c r="H131" s="21">
        <v>15172</v>
      </c>
      <c r="I131" s="21">
        <v>6495</v>
      </c>
      <c r="J131" s="19" t="s">
        <v>64</v>
      </c>
      <c r="K131" s="19" t="s">
        <v>37</v>
      </c>
      <c r="L131" s="19"/>
    </row>
    <row r="132" spans="1:12" x14ac:dyDescent="0.3">
      <c r="A132" s="16" t="s">
        <v>187</v>
      </c>
      <c r="B132" s="17">
        <v>42627</v>
      </c>
      <c r="C132" s="16" t="s">
        <v>54</v>
      </c>
      <c r="D132" s="16" t="s">
        <v>45</v>
      </c>
      <c r="E132" s="16" t="s">
        <v>60</v>
      </c>
      <c r="F132" s="18">
        <v>5566</v>
      </c>
      <c r="G132" s="18">
        <v>12545</v>
      </c>
      <c r="H132" s="18">
        <v>18111</v>
      </c>
      <c r="I132" s="18">
        <v>18111</v>
      </c>
      <c r="J132" s="16" t="s">
        <v>64</v>
      </c>
      <c r="K132" s="16" t="s">
        <v>42</v>
      </c>
      <c r="L132" s="16">
        <v>4</v>
      </c>
    </row>
    <row r="133" spans="1:12" x14ac:dyDescent="0.3">
      <c r="A133" s="19" t="s">
        <v>188</v>
      </c>
      <c r="B133" s="20">
        <v>42634</v>
      </c>
      <c r="C133" s="19" t="s">
        <v>54</v>
      </c>
      <c r="D133" s="19" t="s">
        <v>40</v>
      </c>
      <c r="E133" s="19" t="s">
        <v>60</v>
      </c>
      <c r="F133" s="21">
        <v>7128</v>
      </c>
      <c r="G133" s="21">
        <v>5441</v>
      </c>
      <c r="H133" s="21">
        <v>12569</v>
      </c>
      <c r="I133" s="21">
        <v>12569</v>
      </c>
      <c r="J133" s="19" t="s">
        <v>64</v>
      </c>
      <c r="K133" s="19" t="s">
        <v>42</v>
      </c>
      <c r="L133" s="19">
        <v>25</v>
      </c>
    </row>
    <row r="134" spans="1:12" x14ac:dyDescent="0.3">
      <c r="A134" s="16" t="s">
        <v>189</v>
      </c>
      <c r="B134" s="17">
        <v>42643</v>
      </c>
      <c r="C134" s="16" t="s">
        <v>39</v>
      </c>
      <c r="D134" s="16" t="s">
        <v>470</v>
      </c>
      <c r="E134" s="16" t="s">
        <v>35</v>
      </c>
      <c r="F134" s="18">
        <v>4515</v>
      </c>
      <c r="G134" s="18">
        <v>1695</v>
      </c>
      <c r="H134" s="18">
        <v>6210</v>
      </c>
      <c r="I134" s="18">
        <v>6210</v>
      </c>
      <c r="J134" s="16" t="s">
        <v>47</v>
      </c>
      <c r="K134" s="16" t="s">
        <v>42</v>
      </c>
      <c r="L134" s="16">
        <v>5</v>
      </c>
    </row>
    <row r="135" spans="1:12" x14ac:dyDescent="0.3">
      <c r="A135" s="19" t="s">
        <v>190</v>
      </c>
      <c r="B135" s="20">
        <v>42648</v>
      </c>
      <c r="C135" s="19" t="s">
        <v>468</v>
      </c>
      <c r="D135" s="19" t="s">
        <v>49</v>
      </c>
      <c r="E135" s="19" t="s">
        <v>60</v>
      </c>
      <c r="F135" s="21">
        <v>1125</v>
      </c>
      <c r="G135" s="21">
        <v>10647</v>
      </c>
      <c r="H135" s="21">
        <v>11772</v>
      </c>
      <c r="I135" s="21">
        <v>11772</v>
      </c>
      <c r="J135" s="19" t="s">
        <v>61</v>
      </c>
      <c r="K135" s="19" t="s">
        <v>42</v>
      </c>
      <c r="L135" s="19">
        <v>13</v>
      </c>
    </row>
    <row r="136" spans="1:12" x14ac:dyDescent="0.3">
      <c r="A136" s="16" t="s">
        <v>191</v>
      </c>
      <c r="B136" s="17">
        <v>42649</v>
      </c>
      <c r="C136" s="16" t="s">
        <v>33</v>
      </c>
      <c r="D136" s="16" t="s">
        <v>49</v>
      </c>
      <c r="E136" s="16" t="s">
        <v>50</v>
      </c>
      <c r="F136" s="18">
        <v>3245</v>
      </c>
      <c r="G136" s="18">
        <v>4184</v>
      </c>
      <c r="H136" s="18">
        <v>7429</v>
      </c>
      <c r="I136" s="18">
        <v>7429</v>
      </c>
      <c r="J136" s="16" t="s">
        <v>61</v>
      </c>
      <c r="K136" s="16" t="s">
        <v>42</v>
      </c>
      <c r="L136" s="16">
        <v>24</v>
      </c>
    </row>
    <row r="137" spans="1:12" x14ac:dyDescent="0.3">
      <c r="A137" s="19" t="s">
        <v>192</v>
      </c>
      <c r="B137" s="20">
        <v>42655</v>
      </c>
      <c r="C137" s="19" t="s">
        <v>58</v>
      </c>
      <c r="D137" s="19" t="s">
        <v>68</v>
      </c>
      <c r="E137" s="19" t="s">
        <v>52</v>
      </c>
      <c r="F137" s="21">
        <v>3569</v>
      </c>
      <c r="G137" s="21">
        <v>844</v>
      </c>
      <c r="H137" s="21">
        <v>4413</v>
      </c>
      <c r="I137" s="21">
        <v>4413</v>
      </c>
      <c r="J137" s="19" t="s">
        <v>36</v>
      </c>
      <c r="K137" s="19" t="s">
        <v>42</v>
      </c>
      <c r="L137" s="19">
        <v>18</v>
      </c>
    </row>
    <row r="138" spans="1:12" x14ac:dyDescent="0.3">
      <c r="A138" s="16" t="s">
        <v>193</v>
      </c>
      <c r="B138" s="17">
        <v>42656</v>
      </c>
      <c r="C138" s="16" t="s">
        <v>33</v>
      </c>
      <c r="D138" s="16" t="s">
        <v>56</v>
      </c>
      <c r="E138" s="16" t="s">
        <v>46</v>
      </c>
      <c r="F138" s="18">
        <v>7250</v>
      </c>
      <c r="G138" s="18">
        <v>11989</v>
      </c>
      <c r="H138" s="18">
        <v>19239</v>
      </c>
      <c r="I138" s="18">
        <v>19239</v>
      </c>
      <c r="J138" s="16" t="s">
        <v>64</v>
      </c>
      <c r="K138" s="16" t="s">
        <v>42</v>
      </c>
      <c r="L138" s="16">
        <v>12</v>
      </c>
    </row>
    <row r="139" spans="1:12" x14ac:dyDescent="0.3">
      <c r="A139" s="19" t="s">
        <v>194</v>
      </c>
      <c r="B139" s="20">
        <v>42662</v>
      </c>
      <c r="C139" s="19" t="s">
        <v>54</v>
      </c>
      <c r="D139" s="19" t="s">
        <v>470</v>
      </c>
      <c r="E139" s="19" t="s">
        <v>46</v>
      </c>
      <c r="F139" s="21">
        <v>7190</v>
      </c>
      <c r="G139" s="21">
        <v>9673</v>
      </c>
      <c r="H139" s="21">
        <v>16863</v>
      </c>
      <c r="I139" s="21">
        <v>2532</v>
      </c>
      <c r="J139" s="19" t="s">
        <v>36</v>
      </c>
      <c r="K139" s="19" t="s">
        <v>37</v>
      </c>
      <c r="L139" s="19"/>
    </row>
    <row r="140" spans="1:12" x14ac:dyDescent="0.3">
      <c r="A140" s="16" t="s">
        <v>195</v>
      </c>
      <c r="B140" s="17">
        <v>42666</v>
      </c>
      <c r="C140" s="16" t="s">
        <v>58</v>
      </c>
      <c r="D140" s="16" t="s">
        <v>40</v>
      </c>
      <c r="E140" s="16" t="s">
        <v>52</v>
      </c>
      <c r="F140" s="18">
        <v>1595</v>
      </c>
      <c r="G140" s="18">
        <v>10780</v>
      </c>
      <c r="H140" s="18">
        <v>12375</v>
      </c>
      <c r="I140" s="18">
        <v>12375</v>
      </c>
      <c r="J140" s="16" t="s">
        <v>47</v>
      </c>
      <c r="K140" s="16" t="s">
        <v>42</v>
      </c>
      <c r="L140" s="16">
        <v>9</v>
      </c>
    </row>
    <row r="141" spans="1:12" x14ac:dyDescent="0.3">
      <c r="A141" s="19" t="s">
        <v>196</v>
      </c>
      <c r="B141" s="20">
        <v>42666</v>
      </c>
      <c r="C141" s="19" t="s">
        <v>58</v>
      </c>
      <c r="D141" s="19" t="s">
        <v>68</v>
      </c>
      <c r="E141" s="19" t="s">
        <v>60</v>
      </c>
      <c r="F141" s="21">
        <v>6215</v>
      </c>
      <c r="G141" s="21">
        <v>14695</v>
      </c>
      <c r="H141" s="21">
        <v>20910</v>
      </c>
      <c r="I141" s="21">
        <v>20910</v>
      </c>
      <c r="J141" s="19" t="s">
        <v>64</v>
      </c>
      <c r="K141" s="19" t="s">
        <v>42</v>
      </c>
      <c r="L141" s="19">
        <v>4</v>
      </c>
    </row>
    <row r="142" spans="1:12" x14ac:dyDescent="0.3">
      <c r="A142" s="16" t="s">
        <v>197</v>
      </c>
      <c r="B142" s="17">
        <v>42674</v>
      </c>
      <c r="C142" s="16" t="s">
        <v>39</v>
      </c>
      <c r="D142" s="16" t="s">
        <v>68</v>
      </c>
      <c r="E142" s="16" t="s">
        <v>41</v>
      </c>
      <c r="F142" s="18">
        <v>7534</v>
      </c>
      <c r="G142" s="18">
        <v>1570</v>
      </c>
      <c r="H142" s="18">
        <v>9104</v>
      </c>
      <c r="I142" s="18">
        <v>4028</v>
      </c>
      <c r="J142" s="16" t="s">
        <v>64</v>
      </c>
      <c r="K142" s="16" t="s">
        <v>37</v>
      </c>
      <c r="L142" s="16"/>
    </row>
    <row r="143" spans="1:12" x14ac:dyDescent="0.3">
      <c r="A143" s="19" t="s">
        <v>198</v>
      </c>
      <c r="B143" s="20">
        <v>42680</v>
      </c>
      <c r="C143" s="19" t="s">
        <v>39</v>
      </c>
      <c r="D143" s="19" t="s">
        <v>470</v>
      </c>
      <c r="E143" s="19" t="s">
        <v>52</v>
      </c>
      <c r="F143" s="21">
        <v>6262</v>
      </c>
      <c r="G143" s="21">
        <v>653</v>
      </c>
      <c r="H143" s="21">
        <v>6915</v>
      </c>
      <c r="I143" s="21">
        <v>1178</v>
      </c>
      <c r="J143" s="19" t="s">
        <v>36</v>
      </c>
      <c r="K143" s="19" t="s">
        <v>37</v>
      </c>
      <c r="L143" s="19"/>
    </row>
    <row r="144" spans="1:12" x14ac:dyDescent="0.3">
      <c r="A144" s="16" t="s">
        <v>199</v>
      </c>
      <c r="B144" s="17">
        <v>42682</v>
      </c>
      <c r="C144" s="16" t="s">
        <v>54</v>
      </c>
      <c r="D144" s="16" t="s">
        <v>40</v>
      </c>
      <c r="E144" s="16" t="s">
        <v>60</v>
      </c>
      <c r="F144" s="18">
        <v>2585</v>
      </c>
      <c r="G144" s="18">
        <v>9975</v>
      </c>
      <c r="H144" s="18">
        <v>12560</v>
      </c>
      <c r="I144" s="18">
        <v>12560</v>
      </c>
      <c r="J144" s="16" t="s">
        <v>47</v>
      </c>
      <c r="K144" s="16" t="s">
        <v>42</v>
      </c>
      <c r="L144" s="16">
        <v>1</v>
      </c>
    </row>
    <row r="145" spans="1:12" x14ac:dyDescent="0.3">
      <c r="A145" s="19" t="s">
        <v>200</v>
      </c>
      <c r="B145" s="20">
        <v>42684</v>
      </c>
      <c r="C145" s="19" t="s">
        <v>33</v>
      </c>
      <c r="D145" s="19" t="s">
        <v>56</v>
      </c>
      <c r="E145" s="19" t="s">
        <v>52</v>
      </c>
      <c r="F145" s="21">
        <v>6426</v>
      </c>
      <c r="G145" s="21">
        <v>8270</v>
      </c>
      <c r="H145" s="21">
        <v>14696</v>
      </c>
      <c r="I145" s="21">
        <v>14696</v>
      </c>
      <c r="J145" s="19" t="s">
        <v>64</v>
      </c>
      <c r="K145" s="19" t="s">
        <v>42</v>
      </c>
      <c r="L145" s="19">
        <v>2</v>
      </c>
    </row>
    <row r="146" spans="1:12" x14ac:dyDescent="0.3">
      <c r="A146" s="16" t="s">
        <v>201</v>
      </c>
      <c r="B146" s="17">
        <v>42688</v>
      </c>
      <c r="C146" s="16" t="s">
        <v>58</v>
      </c>
      <c r="D146" s="16" t="s">
        <v>56</v>
      </c>
      <c r="E146" s="16" t="s">
        <v>35</v>
      </c>
      <c r="F146" s="18">
        <v>5734</v>
      </c>
      <c r="G146" s="18">
        <v>3004</v>
      </c>
      <c r="H146" s="18">
        <v>8738</v>
      </c>
      <c r="I146" s="18">
        <v>8738</v>
      </c>
      <c r="J146" s="16" t="s">
        <v>47</v>
      </c>
      <c r="K146" s="16" t="s">
        <v>42</v>
      </c>
      <c r="L146" s="16">
        <v>5</v>
      </c>
    </row>
    <row r="147" spans="1:12" x14ac:dyDescent="0.3">
      <c r="A147" s="19" t="s">
        <v>202</v>
      </c>
      <c r="B147" s="20">
        <v>42689</v>
      </c>
      <c r="C147" s="19" t="s">
        <v>33</v>
      </c>
      <c r="D147" s="19" t="s">
        <v>56</v>
      </c>
      <c r="E147" s="19" t="s">
        <v>60</v>
      </c>
      <c r="F147" s="21">
        <v>5763</v>
      </c>
      <c r="G147" s="21">
        <v>10449</v>
      </c>
      <c r="H147" s="21">
        <v>16212</v>
      </c>
      <c r="I147" s="21">
        <v>16212</v>
      </c>
      <c r="J147" s="19" t="s">
        <v>36</v>
      </c>
      <c r="K147" s="19" t="s">
        <v>42</v>
      </c>
      <c r="L147" s="19">
        <v>24</v>
      </c>
    </row>
    <row r="148" spans="1:12" x14ac:dyDescent="0.3">
      <c r="A148" s="16" t="s">
        <v>203</v>
      </c>
      <c r="B148" s="17">
        <v>42701</v>
      </c>
      <c r="C148" s="16" t="s">
        <v>58</v>
      </c>
      <c r="D148" s="16" t="s">
        <v>45</v>
      </c>
      <c r="E148" s="16" t="s">
        <v>60</v>
      </c>
      <c r="F148" s="18">
        <v>6023</v>
      </c>
      <c r="G148" s="18">
        <v>5043</v>
      </c>
      <c r="H148" s="18">
        <v>11066</v>
      </c>
      <c r="I148" s="18">
        <v>5134</v>
      </c>
      <c r="J148" s="16" t="s">
        <v>36</v>
      </c>
      <c r="K148" s="16" t="s">
        <v>37</v>
      </c>
      <c r="L148" s="16"/>
    </row>
    <row r="149" spans="1:12" x14ac:dyDescent="0.3">
      <c r="A149" s="19" t="s">
        <v>204</v>
      </c>
      <c r="B149" s="20">
        <v>42709</v>
      </c>
      <c r="C149" s="19" t="s">
        <v>58</v>
      </c>
      <c r="D149" s="19" t="s">
        <v>49</v>
      </c>
      <c r="E149" s="19" t="s">
        <v>60</v>
      </c>
      <c r="F149" s="21">
        <v>2974</v>
      </c>
      <c r="G149" s="21">
        <v>1126</v>
      </c>
      <c r="H149" s="21">
        <v>4100</v>
      </c>
      <c r="I149" s="21">
        <v>4100</v>
      </c>
      <c r="J149" s="19" t="s">
        <v>47</v>
      </c>
      <c r="K149" s="19" t="s">
        <v>42</v>
      </c>
      <c r="L149" s="19">
        <v>19</v>
      </c>
    </row>
    <row r="150" spans="1:12" x14ac:dyDescent="0.3">
      <c r="A150" s="16" t="s">
        <v>205</v>
      </c>
      <c r="B150" s="17">
        <v>42718</v>
      </c>
      <c r="C150" s="16" t="s">
        <v>468</v>
      </c>
      <c r="D150" s="16" t="s">
        <v>45</v>
      </c>
      <c r="E150" s="16" t="s">
        <v>46</v>
      </c>
      <c r="F150" s="18">
        <v>2263</v>
      </c>
      <c r="G150" s="18">
        <v>8817</v>
      </c>
      <c r="H150" s="18">
        <v>11080</v>
      </c>
      <c r="I150" s="18">
        <v>11080</v>
      </c>
      <c r="J150" s="16" t="s">
        <v>61</v>
      </c>
      <c r="K150" s="16" t="s">
        <v>42</v>
      </c>
      <c r="L150" s="16">
        <v>27</v>
      </c>
    </row>
    <row r="151" spans="1:12" x14ac:dyDescent="0.3">
      <c r="A151" s="19" t="s">
        <v>206</v>
      </c>
      <c r="B151" s="20">
        <v>42723</v>
      </c>
      <c r="C151" s="19" t="s">
        <v>54</v>
      </c>
      <c r="D151" s="19" t="s">
        <v>40</v>
      </c>
      <c r="E151" s="19" t="s">
        <v>52</v>
      </c>
      <c r="F151" s="21">
        <v>4563</v>
      </c>
      <c r="G151" s="21">
        <v>9285</v>
      </c>
      <c r="H151" s="21">
        <v>13848</v>
      </c>
      <c r="I151" s="21">
        <v>13848</v>
      </c>
      <c r="J151" s="19" t="s">
        <v>47</v>
      </c>
      <c r="K151" s="19" t="s">
        <v>42</v>
      </c>
      <c r="L151" s="19">
        <v>29</v>
      </c>
    </row>
    <row r="152" spans="1:12" x14ac:dyDescent="0.3">
      <c r="A152" s="16" t="s">
        <v>207</v>
      </c>
      <c r="B152" s="17">
        <v>42725</v>
      </c>
      <c r="C152" s="16" t="s">
        <v>33</v>
      </c>
      <c r="D152" s="16" t="s">
        <v>49</v>
      </c>
      <c r="E152" s="16" t="s">
        <v>46</v>
      </c>
      <c r="F152" s="18">
        <v>6474</v>
      </c>
      <c r="G152" s="18">
        <v>7012</v>
      </c>
      <c r="H152" s="18">
        <v>13486</v>
      </c>
      <c r="I152" s="18">
        <v>13486</v>
      </c>
      <c r="J152" s="16" t="s">
        <v>61</v>
      </c>
      <c r="K152" s="16" t="s">
        <v>42</v>
      </c>
      <c r="L152" s="16">
        <v>27</v>
      </c>
    </row>
    <row r="153" spans="1:12" x14ac:dyDescent="0.3">
      <c r="A153" s="19" t="s">
        <v>208</v>
      </c>
      <c r="B153" s="20">
        <v>42726</v>
      </c>
      <c r="C153" s="19" t="s">
        <v>58</v>
      </c>
      <c r="D153" s="19" t="s">
        <v>470</v>
      </c>
      <c r="E153" s="19" t="s">
        <v>71</v>
      </c>
      <c r="F153" s="21">
        <v>1363</v>
      </c>
      <c r="G153" s="21">
        <v>14905</v>
      </c>
      <c r="H153" s="21">
        <v>16268</v>
      </c>
      <c r="I153" s="21">
        <v>16268</v>
      </c>
      <c r="J153" s="19" t="s">
        <v>61</v>
      </c>
      <c r="K153" s="19" t="s">
        <v>42</v>
      </c>
      <c r="L153" s="19">
        <v>11</v>
      </c>
    </row>
    <row r="154" spans="1:12" x14ac:dyDescent="0.3">
      <c r="A154" s="16" t="s">
        <v>209</v>
      </c>
      <c r="B154" s="17">
        <v>42732</v>
      </c>
      <c r="C154" s="16" t="s">
        <v>33</v>
      </c>
      <c r="D154" s="16" t="s">
        <v>68</v>
      </c>
      <c r="E154" s="16" t="s">
        <v>50</v>
      </c>
      <c r="F154" s="18">
        <v>3204</v>
      </c>
      <c r="G154" s="18">
        <v>7623</v>
      </c>
      <c r="H154" s="18">
        <v>10827</v>
      </c>
      <c r="I154" s="18">
        <v>10827</v>
      </c>
      <c r="J154" s="16" t="s">
        <v>64</v>
      </c>
      <c r="K154" s="16" t="s">
        <v>42</v>
      </c>
      <c r="L154" s="16">
        <v>14</v>
      </c>
    </row>
    <row r="155" spans="1:12" x14ac:dyDescent="0.3">
      <c r="A155" s="19" t="s">
        <v>210</v>
      </c>
      <c r="B155" s="20">
        <v>42733</v>
      </c>
      <c r="C155" s="19" t="s">
        <v>468</v>
      </c>
      <c r="D155" s="19" t="s">
        <v>56</v>
      </c>
      <c r="E155" s="19" t="s">
        <v>50</v>
      </c>
      <c r="F155" s="21">
        <v>3159</v>
      </c>
      <c r="G155" s="21">
        <v>7678</v>
      </c>
      <c r="H155" s="21">
        <v>10837</v>
      </c>
      <c r="I155" s="21">
        <v>994</v>
      </c>
      <c r="J155" s="19" t="s">
        <v>64</v>
      </c>
      <c r="K155" s="19" t="s">
        <v>37</v>
      </c>
      <c r="L155" s="19"/>
    </row>
    <row r="156" spans="1:12" x14ac:dyDescent="0.3">
      <c r="A156" s="16" t="s">
        <v>211</v>
      </c>
      <c r="B156" s="17">
        <v>42739</v>
      </c>
      <c r="C156" s="16" t="s">
        <v>33</v>
      </c>
      <c r="D156" s="16" t="s">
        <v>45</v>
      </c>
      <c r="E156" s="16" t="s">
        <v>71</v>
      </c>
      <c r="F156" s="18">
        <v>2811</v>
      </c>
      <c r="G156" s="18">
        <v>14110</v>
      </c>
      <c r="H156" s="18">
        <v>16921</v>
      </c>
      <c r="I156" s="18">
        <v>16921</v>
      </c>
      <c r="J156" s="16" t="s">
        <v>47</v>
      </c>
      <c r="K156" s="16" t="s">
        <v>42</v>
      </c>
      <c r="L156" s="16">
        <v>8</v>
      </c>
    </row>
    <row r="157" spans="1:12" x14ac:dyDescent="0.3">
      <c r="A157" s="19" t="s">
        <v>212</v>
      </c>
      <c r="B157" s="20">
        <v>42750</v>
      </c>
      <c r="C157" s="19" t="s">
        <v>468</v>
      </c>
      <c r="D157" s="19" t="s">
        <v>40</v>
      </c>
      <c r="E157" s="19" t="s">
        <v>71</v>
      </c>
      <c r="F157" s="21">
        <v>3025</v>
      </c>
      <c r="G157" s="21">
        <v>2749</v>
      </c>
      <c r="H157" s="21">
        <v>5774</v>
      </c>
      <c r="I157" s="21">
        <v>5774</v>
      </c>
      <c r="J157" s="19" t="s">
        <v>36</v>
      </c>
      <c r="K157" s="19" t="s">
        <v>42</v>
      </c>
      <c r="L157" s="19">
        <v>19</v>
      </c>
    </row>
    <row r="158" spans="1:12" x14ac:dyDescent="0.3">
      <c r="A158" s="16" t="s">
        <v>213</v>
      </c>
      <c r="B158" s="17">
        <v>42758</v>
      </c>
      <c r="C158" s="16" t="s">
        <v>58</v>
      </c>
      <c r="D158" s="16" t="s">
        <v>45</v>
      </c>
      <c r="E158" s="16" t="s">
        <v>60</v>
      </c>
      <c r="F158" s="18">
        <v>4997</v>
      </c>
      <c r="G158" s="18">
        <v>2364</v>
      </c>
      <c r="H158" s="18">
        <v>7361</v>
      </c>
      <c r="I158" s="18">
        <v>7361</v>
      </c>
      <c r="J158" s="16" t="s">
        <v>64</v>
      </c>
      <c r="K158" s="16" t="s">
        <v>42</v>
      </c>
      <c r="L158" s="16">
        <v>13</v>
      </c>
    </row>
    <row r="159" spans="1:12" x14ac:dyDescent="0.3">
      <c r="A159" s="19" t="s">
        <v>214</v>
      </c>
      <c r="B159" s="20">
        <v>42759</v>
      </c>
      <c r="C159" s="19" t="s">
        <v>39</v>
      </c>
      <c r="D159" s="19" t="s">
        <v>45</v>
      </c>
      <c r="E159" s="19" t="s">
        <v>35</v>
      </c>
      <c r="F159" s="21">
        <v>4752</v>
      </c>
      <c r="G159" s="21">
        <v>8236</v>
      </c>
      <c r="H159" s="21">
        <v>12988</v>
      </c>
      <c r="I159" s="21">
        <v>12988</v>
      </c>
      <c r="J159" s="19" t="s">
        <v>36</v>
      </c>
      <c r="K159" s="19" t="s">
        <v>42</v>
      </c>
      <c r="L159" s="19">
        <v>14</v>
      </c>
    </row>
    <row r="160" spans="1:12" x14ac:dyDescent="0.3">
      <c r="A160" s="16" t="s">
        <v>215</v>
      </c>
      <c r="B160" s="17">
        <v>42771</v>
      </c>
      <c r="C160" s="16" t="s">
        <v>468</v>
      </c>
      <c r="D160" s="16" t="s">
        <v>68</v>
      </c>
      <c r="E160" s="16" t="s">
        <v>35</v>
      </c>
      <c r="F160" s="18">
        <v>5032</v>
      </c>
      <c r="G160" s="18">
        <v>3630</v>
      </c>
      <c r="H160" s="18">
        <v>8662</v>
      </c>
      <c r="I160" s="18">
        <v>8662</v>
      </c>
      <c r="J160" s="16" t="s">
        <v>47</v>
      </c>
      <c r="K160" s="16" t="s">
        <v>42</v>
      </c>
      <c r="L160" s="16">
        <v>7</v>
      </c>
    </row>
    <row r="161" spans="1:12" x14ac:dyDescent="0.3">
      <c r="A161" s="19" t="s">
        <v>216</v>
      </c>
      <c r="B161" s="20">
        <v>42779</v>
      </c>
      <c r="C161" s="19" t="s">
        <v>54</v>
      </c>
      <c r="D161" s="19" t="s">
        <v>45</v>
      </c>
      <c r="E161" s="19" t="s">
        <v>71</v>
      </c>
      <c r="F161" s="21">
        <v>7401</v>
      </c>
      <c r="G161" s="21">
        <v>3115</v>
      </c>
      <c r="H161" s="21">
        <v>10516</v>
      </c>
      <c r="I161" s="21">
        <v>2787</v>
      </c>
      <c r="J161" s="19" t="s">
        <v>61</v>
      </c>
      <c r="K161" s="19" t="s">
        <v>37</v>
      </c>
      <c r="L161" s="19"/>
    </row>
    <row r="162" spans="1:12" x14ac:dyDescent="0.3">
      <c r="A162" s="16" t="s">
        <v>217</v>
      </c>
      <c r="B162" s="17">
        <v>42780</v>
      </c>
      <c r="C162" s="16" t="s">
        <v>39</v>
      </c>
      <c r="D162" s="16" t="s">
        <v>56</v>
      </c>
      <c r="E162" s="16" t="s">
        <v>52</v>
      </c>
      <c r="F162" s="18">
        <v>7963</v>
      </c>
      <c r="G162" s="18">
        <v>1735</v>
      </c>
      <c r="H162" s="18">
        <v>9698</v>
      </c>
      <c r="I162" s="18">
        <v>4508</v>
      </c>
      <c r="J162" s="16" t="s">
        <v>64</v>
      </c>
      <c r="K162" s="16" t="s">
        <v>37</v>
      </c>
      <c r="L162" s="16"/>
    </row>
    <row r="163" spans="1:12" x14ac:dyDescent="0.3">
      <c r="A163" s="19" t="s">
        <v>218</v>
      </c>
      <c r="B163" s="20">
        <v>42812</v>
      </c>
      <c r="C163" s="19" t="s">
        <v>58</v>
      </c>
      <c r="D163" s="19" t="s">
        <v>49</v>
      </c>
      <c r="E163" s="19" t="s">
        <v>41</v>
      </c>
      <c r="F163" s="21">
        <v>7369</v>
      </c>
      <c r="G163" s="21">
        <v>6272</v>
      </c>
      <c r="H163" s="21">
        <v>13641</v>
      </c>
      <c r="I163" s="21">
        <v>13641</v>
      </c>
      <c r="J163" s="19" t="s">
        <v>36</v>
      </c>
      <c r="K163" s="19" t="s">
        <v>42</v>
      </c>
      <c r="L163" s="19">
        <v>20</v>
      </c>
    </row>
    <row r="164" spans="1:12" x14ac:dyDescent="0.3">
      <c r="A164" s="16" t="s">
        <v>219</v>
      </c>
      <c r="B164" s="17">
        <v>42815</v>
      </c>
      <c r="C164" s="16" t="s">
        <v>58</v>
      </c>
      <c r="D164" s="16" t="s">
        <v>59</v>
      </c>
      <c r="E164" s="16" t="s">
        <v>35</v>
      </c>
      <c r="F164" s="18">
        <v>7236</v>
      </c>
      <c r="G164" s="18">
        <v>10002</v>
      </c>
      <c r="H164" s="18">
        <v>17238</v>
      </c>
      <c r="I164" s="18">
        <v>17238</v>
      </c>
      <c r="J164" s="16" t="s">
        <v>47</v>
      </c>
      <c r="K164" s="16" t="s">
        <v>42</v>
      </c>
      <c r="L164" s="16">
        <v>14</v>
      </c>
    </row>
    <row r="165" spans="1:12" x14ac:dyDescent="0.3">
      <c r="A165" s="19" t="s">
        <v>220</v>
      </c>
      <c r="B165" s="20">
        <v>42820</v>
      </c>
      <c r="C165" s="19" t="s">
        <v>33</v>
      </c>
      <c r="D165" s="19" t="s">
        <v>40</v>
      </c>
      <c r="E165" s="19" t="s">
        <v>60</v>
      </c>
      <c r="F165" s="21">
        <v>7841</v>
      </c>
      <c r="G165" s="21">
        <v>7938</v>
      </c>
      <c r="H165" s="21">
        <v>15779</v>
      </c>
      <c r="I165" s="21">
        <v>15779</v>
      </c>
      <c r="J165" s="19" t="s">
        <v>36</v>
      </c>
      <c r="K165" s="19" t="s">
        <v>42</v>
      </c>
      <c r="L165" s="19">
        <v>21</v>
      </c>
    </row>
    <row r="166" spans="1:12" x14ac:dyDescent="0.3">
      <c r="A166" s="16" t="s">
        <v>221</v>
      </c>
      <c r="B166" s="17">
        <v>42840</v>
      </c>
      <c r="C166" s="16" t="s">
        <v>468</v>
      </c>
      <c r="D166" s="16" t="s">
        <v>45</v>
      </c>
      <c r="E166" s="16" t="s">
        <v>52</v>
      </c>
      <c r="F166" s="18">
        <v>3762</v>
      </c>
      <c r="G166" s="18">
        <v>9959</v>
      </c>
      <c r="H166" s="18">
        <v>13721</v>
      </c>
      <c r="I166" s="18">
        <v>13721</v>
      </c>
      <c r="J166" s="16" t="s">
        <v>64</v>
      </c>
      <c r="K166" s="16" t="s">
        <v>42</v>
      </c>
      <c r="L166" s="16">
        <v>22</v>
      </c>
    </row>
    <row r="167" spans="1:12" x14ac:dyDescent="0.3">
      <c r="A167" s="19" t="s">
        <v>222</v>
      </c>
      <c r="B167" s="20">
        <v>42845</v>
      </c>
      <c r="C167" s="19" t="s">
        <v>58</v>
      </c>
      <c r="D167" s="19" t="s">
        <v>59</v>
      </c>
      <c r="E167" s="19" t="s">
        <v>35</v>
      </c>
      <c r="F167" s="21">
        <v>6467</v>
      </c>
      <c r="G167" s="21">
        <v>4486</v>
      </c>
      <c r="H167" s="21">
        <v>10953</v>
      </c>
      <c r="I167" s="21">
        <v>10953</v>
      </c>
      <c r="J167" s="19" t="s">
        <v>61</v>
      </c>
      <c r="K167" s="19" t="s">
        <v>42</v>
      </c>
      <c r="L167" s="19">
        <v>21</v>
      </c>
    </row>
    <row r="168" spans="1:12" x14ac:dyDescent="0.3">
      <c r="A168" s="16" t="s">
        <v>223</v>
      </c>
      <c r="B168" s="17">
        <v>42848</v>
      </c>
      <c r="C168" s="16" t="s">
        <v>33</v>
      </c>
      <c r="D168" s="16" t="s">
        <v>45</v>
      </c>
      <c r="E168" s="16" t="s">
        <v>46</v>
      </c>
      <c r="F168" s="18">
        <v>1743</v>
      </c>
      <c r="G168" s="18">
        <v>8173</v>
      </c>
      <c r="H168" s="18">
        <v>9916</v>
      </c>
      <c r="I168" s="18">
        <v>9916</v>
      </c>
      <c r="J168" s="16" t="s">
        <v>36</v>
      </c>
      <c r="K168" s="16" t="s">
        <v>42</v>
      </c>
      <c r="L168" s="16">
        <v>4</v>
      </c>
    </row>
    <row r="169" spans="1:12" x14ac:dyDescent="0.3">
      <c r="A169" s="19" t="s">
        <v>224</v>
      </c>
      <c r="B169" s="20">
        <v>42867</v>
      </c>
      <c r="C169" s="19" t="s">
        <v>39</v>
      </c>
      <c r="D169" s="19" t="s">
        <v>45</v>
      </c>
      <c r="E169" s="19" t="s">
        <v>35</v>
      </c>
      <c r="F169" s="21">
        <v>936</v>
      </c>
      <c r="G169" s="21">
        <v>6535</v>
      </c>
      <c r="H169" s="21">
        <v>7471</v>
      </c>
      <c r="I169" s="21">
        <v>7471</v>
      </c>
      <c r="J169" s="19" t="s">
        <v>64</v>
      </c>
      <c r="K169" s="19" t="s">
        <v>42</v>
      </c>
      <c r="L169" s="19">
        <v>21</v>
      </c>
    </row>
    <row r="170" spans="1:12" x14ac:dyDescent="0.3">
      <c r="A170" s="16" t="s">
        <v>225</v>
      </c>
      <c r="B170" s="17">
        <v>42873</v>
      </c>
      <c r="C170" s="16" t="s">
        <v>54</v>
      </c>
      <c r="D170" s="16" t="s">
        <v>68</v>
      </c>
      <c r="E170" s="16" t="s">
        <v>46</v>
      </c>
      <c r="F170" s="18">
        <v>2753</v>
      </c>
      <c r="G170" s="18">
        <v>7378</v>
      </c>
      <c r="H170" s="18">
        <v>10131</v>
      </c>
      <c r="I170" s="18">
        <v>514</v>
      </c>
      <c r="J170" s="16" t="s">
        <v>64</v>
      </c>
      <c r="K170" s="16" t="s">
        <v>37</v>
      </c>
      <c r="L170" s="16"/>
    </row>
    <row r="171" spans="1:12" x14ac:dyDescent="0.3">
      <c r="A171" s="19" t="s">
        <v>226</v>
      </c>
      <c r="B171" s="20">
        <v>42876</v>
      </c>
      <c r="C171" s="19" t="s">
        <v>468</v>
      </c>
      <c r="D171" s="19" t="s">
        <v>40</v>
      </c>
      <c r="E171" s="19" t="s">
        <v>50</v>
      </c>
      <c r="F171" s="21">
        <v>5493</v>
      </c>
      <c r="G171" s="21">
        <v>687</v>
      </c>
      <c r="H171" s="21">
        <v>6180</v>
      </c>
      <c r="I171" s="21">
        <v>6180</v>
      </c>
      <c r="J171" s="19" t="s">
        <v>61</v>
      </c>
      <c r="K171" s="19" t="s">
        <v>42</v>
      </c>
      <c r="L171" s="19">
        <v>20</v>
      </c>
    </row>
    <row r="172" spans="1:12" x14ac:dyDescent="0.3">
      <c r="A172" s="16" t="s">
        <v>227</v>
      </c>
      <c r="B172" s="17">
        <v>42877</v>
      </c>
      <c r="C172" s="16" t="s">
        <v>58</v>
      </c>
      <c r="D172" s="16" t="s">
        <v>59</v>
      </c>
      <c r="E172" s="16" t="s">
        <v>41</v>
      </c>
      <c r="F172" s="18">
        <v>7790</v>
      </c>
      <c r="G172" s="18">
        <v>8416</v>
      </c>
      <c r="H172" s="18">
        <v>16206</v>
      </c>
      <c r="I172" s="18">
        <v>16206</v>
      </c>
      <c r="J172" s="16" t="s">
        <v>47</v>
      </c>
      <c r="K172" s="16" t="s">
        <v>42</v>
      </c>
      <c r="L172" s="16">
        <v>7</v>
      </c>
    </row>
    <row r="173" spans="1:12" x14ac:dyDescent="0.3">
      <c r="A173" s="19" t="s">
        <v>228</v>
      </c>
      <c r="B173" s="20">
        <v>42895</v>
      </c>
      <c r="C173" s="19" t="s">
        <v>33</v>
      </c>
      <c r="D173" s="19" t="s">
        <v>56</v>
      </c>
      <c r="E173" s="19" t="s">
        <v>50</v>
      </c>
      <c r="F173" s="21">
        <v>1788</v>
      </c>
      <c r="G173" s="21">
        <v>12317</v>
      </c>
      <c r="H173" s="21">
        <v>14105</v>
      </c>
      <c r="I173" s="21">
        <v>14105</v>
      </c>
      <c r="J173" s="19" t="s">
        <v>64</v>
      </c>
      <c r="K173" s="19" t="s">
        <v>42</v>
      </c>
      <c r="L173" s="19">
        <v>10</v>
      </c>
    </row>
    <row r="174" spans="1:12" x14ac:dyDescent="0.3">
      <c r="A174" s="16" t="s">
        <v>229</v>
      </c>
      <c r="B174" s="17">
        <v>42900</v>
      </c>
      <c r="C174" s="16" t="s">
        <v>54</v>
      </c>
      <c r="D174" s="16" t="s">
        <v>49</v>
      </c>
      <c r="E174" s="16" t="s">
        <v>41</v>
      </c>
      <c r="F174" s="18">
        <v>4687</v>
      </c>
      <c r="G174" s="18">
        <v>4850</v>
      </c>
      <c r="H174" s="18">
        <v>9537</v>
      </c>
      <c r="I174" s="18">
        <v>9537</v>
      </c>
      <c r="J174" s="16" t="s">
        <v>64</v>
      </c>
      <c r="K174" s="16" t="s">
        <v>42</v>
      </c>
      <c r="L174" s="16">
        <v>23</v>
      </c>
    </row>
    <row r="175" spans="1:12" x14ac:dyDescent="0.3">
      <c r="A175" s="19" t="s">
        <v>230</v>
      </c>
      <c r="B175" s="20">
        <v>42906</v>
      </c>
      <c r="C175" s="19" t="s">
        <v>39</v>
      </c>
      <c r="D175" s="19" t="s">
        <v>470</v>
      </c>
      <c r="E175" s="19" t="s">
        <v>71</v>
      </c>
      <c r="F175" s="21">
        <v>4096</v>
      </c>
      <c r="G175" s="21">
        <v>11923</v>
      </c>
      <c r="H175" s="21">
        <v>16019</v>
      </c>
      <c r="I175" s="21">
        <v>16019</v>
      </c>
      <c r="J175" s="19" t="s">
        <v>36</v>
      </c>
      <c r="K175" s="19" t="s">
        <v>42</v>
      </c>
      <c r="L175" s="19">
        <v>17</v>
      </c>
    </row>
    <row r="176" spans="1:12" x14ac:dyDescent="0.3">
      <c r="A176" s="16" t="s">
        <v>231</v>
      </c>
      <c r="B176" s="17">
        <v>42906</v>
      </c>
      <c r="C176" s="16" t="s">
        <v>39</v>
      </c>
      <c r="D176" s="16" t="s">
        <v>40</v>
      </c>
      <c r="E176" s="16" t="s">
        <v>46</v>
      </c>
      <c r="F176" s="18">
        <v>6688</v>
      </c>
      <c r="G176" s="18">
        <v>8342</v>
      </c>
      <c r="H176" s="18">
        <v>15030</v>
      </c>
      <c r="I176" s="18">
        <v>6300</v>
      </c>
      <c r="J176" s="16" t="s">
        <v>47</v>
      </c>
      <c r="K176" s="16" t="s">
        <v>37</v>
      </c>
      <c r="L176" s="16"/>
    </row>
    <row r="177" spans="1:12" x14ac:dyDescent="0.3">
      <c r="A177" s="19" t="s">
        <v>232</v>
      </c>
      <c r="B177" s="20">
        <v>42910</v>
      </c>
      <c r="C177" s="19" t="s">
        <v>33</v>
      </c>
      <c r="D177" s="19" t="s">
        <v>56</v>
      </c>
      <c r="E177" s="19" t="s">
        <v>41</v>
      </c>
      <c r="F177" s="21">
        <v>3528</v>
      </c>
      <c r="G177" s="21">
        <v>13265</v>
      </c>
      <c r="H177" s="21">
        <v>16793</v>
      </c>
      <c r="I177" s="21">
        <v>16793</v>
      </c>
      <c r="J177" s="19" t="s">
        <v>64</v>
      </c>
      <c r="K177" s="19" t="s">
        <v>42</v>
      </c>
      <c r="L177" s="19">
        <v>2</v>
      </c>
    </row>
    <row r="178" spans="1:12" x14ac:dyDescent="0.3">
      <c r="A178" s="16" t="s">
        <v>233</v>
      </c>
      <c r="B178" s="17">
        <v>42916</v>
      </c>
      <c r="C178" s="16" t="s">
        <v>39</v>
      </c>
      <c r="D178" s="16" t="s">
        <v>40</v>
      </c>
      <c r="E178" s="16" t="s">
        <v>52</v>
      </c>
      <c r="F178" s="18">
        <v>6123</v>
      </c>
      <c r="G178" s="18">
        <v>6618</v>
      </c>
      <c r="H178" s="18">
        <v>12741</v>
      </c>
      <c r="I178" s="18">
        <v>4239</v>
      </c>
      <c r="J178" s="16" t="s">
        <v>47</v>
      </c>
      <c r="K178" s="16" t="s">
        <v>37</v>
      </c>
      <c r="L178" s="16"/>
    </row>
    <row r="179" spans="1:12" x14ac:dyDescent="0.3">
      <c r="A179" s="19" t="s">
        <v>234</v>
      </c>
      <c r="B179" s="20">
        <v>42919</v>
      </c>
      <c r="C179" s="19" t="s">
        <v>33</v>
      </c>
      <c r="D179" s="19" t="s">
        <v>68</v>
      </c>
      <c r="E179" s="19" t="s">
        <v>71</v>
      </c>
      <c r="F179" s="21">
        <v>5534</v>
      </c>
      <c r="G179" s="21">
        <v>8813</v>
      </c>
      <c r="H179" s="21">
        <v>14347</v>
      </c>
      <c r="I179" s="21">
        <v>14347</v>
      </c>
      <c r="J179" s="19" t="s">
        <v>47</v>
      </c>
      <c r="K179" s="19" t="s">
        <v>42</v>
      </c>
      <c r="L179" s="19">
        <v>4</v>
      </c>
    </row>
    <row r="180" spans="1:12" x14ac:dyDescent="0.3">
      <c r="A180" s="16" t="s">
        <v>235</v>
      </c>
      <c r="B180" s="17">
        <v>42924</v>
      </c>
      <c r="C180" s="16" t="s">
        <v>39</v>
      </c>
      <c r="D180" s="16" t="s">
        <v>49</v>
      </c>
      <c r="E180" s="16" t="s">
        <v>60</v>
      </c>
      <c r="F180" s="18">
        <v>4989</v>
      </c>
      <c r="G180" s="18">
        <v>2394</v>
      </c>
      <c r="H180" s="18">
        <v>7383</v>
      </c>
      <c r="I180" s="18">
        <v>3684</v>
      </c>
      <c r="J180" s="16" t="s">
        <v>36</v>
      </c>
      <c r="K180" s="16" t="s">
        <v>37</v>
      </c>
      <c r="L180" s="16"/>
    </row>
    <row r="181" spans="1:12" x14ac:dyDescent="0.3">
      <c r="A181" s="19" t="s">
        <v>236</v>
      </c>
      <c r="B181" s="20">
        <v>42927</v>
      </c>
      <c r="C181" s="19" t="s">
        <v>33</v>
      </c>
      <c r="D181" s="19" t="s">
        <v>56</v>
      </c>
      <c r="E181" s="19" t="s">
        <v>41</v>
      </c>
      <c r="F181" s="21">
        <v>1729</v>
      </c>
      <c r="G181" s="21">
        <v>924</v>
      </c>
      <c r="H181" s="21">
        <v>2653</v>
      </c>
      <c r="I181" s="21">
        <v>2653</v>
      </c>
      <c r="J181" s="19" t="s">
        <v>47</v>
      </c>
      <c r="K181" s="19" t="s">
        <v>42</v>
      </c>
      <c r="L181" s="19">
        <v>15</v>
      </c>
    </row>
    <row r="182" spans="1:12" x14ac:dyDescent="0.3">
      <c r="A182" s="16" t="s">
        <v>237</v>
      </c>
      <c r="B182" s="17">
        <v>42932</v>
      </c>
      <c r="C182" s="16" t="s">
        <v>39</v>
      </c>
      <c r="D182" s="16" t="s">
        <v>470</v>
      </c>
      <c r="E182" s="16" t="s">
        <v>35</v>
      </c>
      <c r="F182" s="18">
        <v>1342</v>
      </c>
      <c r="G182" s="18">
        <v>3956</v>
      </c>
      <c r="H182" s="18">
        <v>5298</v>
      </c>
      <c r="I182" s="18">
        <v>5298</v>
      </c>
      <c r="J182" s="16" t="s">
        <v>47</v>
      </c>
      <c r="K182" s="16" t="s">
        <v>42</v>
      </c>
      <c r="L182" s="16">
        <v>6</v>
      </c>
    </row>
    <row r="183" spans="1:12" x14ac:dyDescent="0.3">
      <c r="A183" s="19" t="s">
        <v>238</v>
      </c>
      <c r="B183" s="20">
        <v>42935</v>
      </c>
      <c r="C183" s="19" t="s">
        <v>54</v>
      </c>
      <c r="D183" s="19" t="s">
        <v>68</v>
      </c>
      <c r="E183" s="19" t="s">
        <v>41</v>
      </c>
      <c r="F183" s="21">
        <v>4554</v>
      </c>
      <c r="G183" s="21">
        <v>10677</v>
      </c>
      <c r="H183" s="21">
        <v>15231</v>
      </c>
      <c r="I183" s="21">
        <v>15231</v>
      </c>
      <c r="J183" s="19" t="s">
        <v>36</v>
      </c>
      <c r="K183" s="19" t="s">
        <v>42</v>
      </c>
      <c r="L183" s="19">
        <v>2</v>
      </c>
    </row>
    <row r="184" spans="1:12" x14ac:dyDescent="0.3">
      <c r="A184" s="16" t="s">
        <v>239</v>
      </c>
      <c r="B184" s="17">
        <v>42943</v>
      </c>
      <c r="C184" s="16" t="s">
        <v>39</v>
      </c>
      <c r="D184" s="16" t="s">
        <v>40</v>
      </c>
      <c r="E184" s="16" t="s">
        <v>35</v>
      </c>
      <c r="F184" s="18">
        <v>7447</v>
      </c>
      <c r="G184" s="18">
        <v>6746</v>
      </c>
      <c r="H184" s="18">
        <v>14193</v>
      </c>
      <c r="I184" s="18">
        <v>5436</v>
      </c>
      <c r="J184" s="16" t="s">
        <v>36</v>
      </c>
      <c r="K184" s="16" t="s">
        <v>37</v>
      </c>
      <c r="L184" s="16"/>
    </row>
    <row r="185" spans="1:12" x14ac:dyDescent="0.3">
      <c r="A185" s="19" t="s">
        <v>240</v>
      </c>
      <c r="B185" s="20">
        <v>42958</v>
      </c>
      <c r="C185" s="19" t="s">
        <v>58</v>
      </c>
      <c r="D185" s="19" t="s">
        <v>40</v>
      </c>
      <c r="E185" s="19" t="s">
        <v>52</v>
      </c>
      <c r="F185" s="21">
        <v>2756</v>
      </c>
      <c r="G185" s="21">
        <v>9868</v>
      </c>
      <c r="H185" s="21">
        <v>12624</v>
      </c>
      <c r="I185" s="21">
        <v>1913</v>
      </c>
      <c r="J185" s="19" t="s">
        <v>47</v>
      </c>
      <c r="K185" s="19" t="s">
        <v>37</v>
      </c>
      <c r="L185" s="19"/>
    </row>
    <row r="186" spans="1:12" x14ac:dyDescent="0.3">
      <c r="A186" s="16" t="s">
        <v>241</v>
      </c>
      <c r="B186" s="17">
        <v>42965</v>
      </c>
      <c r="C186" s="16" t="s">
        <v>58</v>
      </c>
      <c r="D186" s="16" t="s">
        <v>68</v>
      </c>
      <c r="E186" s="16" t="s">
        <v>60</v>
      </c>
      <c r="F186" s="18">
        <v>2936</v>
      </c>
      <c r="G186" s="18">
        <v>6784</v>
      </c>
      <c r="H186" s="18">
        <v>9720</v>
      </c>
      <c r="I186" s="18">
        <v>9720</v>
      </c>
      <c r="J186" s="16" t="s">
        <v>61</v>
      </c>
      <c r="K186" s="16" t="s">
        <v>42</v>
      </c>
      <c r="L186" s="16">
        <v>14</v>
      </c>
    </row>
    <row r="187" spans="1:12" x14ac:dyDescent="0.3">
      <c r="A187" s="19" t="s">
        <v>242</v>
      </c>
      <c r="B187" s="20">
        <v>42967</v>
      </c>
      <c r="C187" s="19" t="s">
        <v>39</v>
      </c>
      <c r="D187" s="19" t="s">
        <v>68</v>
      </c>
      <c r="E187" s="19" t="s">
        <v>71</v>
      </c>
      <c r="F187" s="21">
        <v>1716</v>
      </c>
      <c r="G187" s="21">
        <v>6447</v>
      </c>
      <c r="H187" s="21">
        <v>8163</v>
      </c>
      <c r="I187" s="21">
        <v>8163</v>
      </c>
      <c r="J187" s="19" t="s">
        <v>64</v>
      </c>
      <c r="K187" s="19" t="s">
        <v>42</v>
      </c>
      <c r="L187" s="19">
        <v>7</v>
      </c>
    </row>
    <row r="188" spans="1:12" x14ac:dyDescent="0.3">
      <c r="A188" s="16" t="s">
        <v>243</v>
      </c>
      <c r="B188" s="17">
        <v>42968</v>
      </c>
      <c r="C188" s="16" t="s">
        <v>54</v>
      </c>
      <c r="D188" s="16" t="s">
        <v>470</v>
      </c>
      <c r="E188" s="16" t="s">
        <v>41</v>
      </c>
      <c r="F188" s="18">
        <v>3736</v>
      </c>
      <c r="G188" s="18">
        <v>6641</v>
      </c>
      <c r="H188" s="18">
        <v>10377</v>
      </c>
      <c r="I188" s="18">
        <v>1192</v>
      </c>
      <c r="J188" s="16" t="s">
        <v>36</v>
      </c>
      <c r="K188" s="16" t="s">
        <v>37</v>
      </c>
      <c r="L188" s="16"/>
    </row>
    <row r="189" spans="1:12" x14ac:dyDescent="0.3">
      <c r="A189" s="19" t="s">
        <v>244</v>
      </c>
      <c r="B189" s="20">
        <v>42968</v>
      </c>
      <c r="C189" s="19" t="s">
        <v>468</v>
      </c>
      <c r="D189" s="19" t="s">
        <v>49</v>
      </c>
      <c r="E189" s="19" t="s">
        <v>46</v>
      </c>
      <c r="F189" s="21">
        <v>1495</v>
      </c>
      <c r="G189" s="21">
        <v>14972</v>
      </c>
      <c r="H189" s="21">
        <v>16467</v>
      </c>
      <c r="I189" s="21">
        <v>16467</v>
      </c>
      <c r="J189" s="19" t="s">
        <v>36</v>
      </c>
      <c r="K189" s="19" t="s">
        <v>42</v>
      </c>
      <c r="L189" s="19">
        <v>4</v>
      </c>
    </row>
    <row r="190" spans="1:12" x14ac:dyDescent="0.3">
      <c r="A190" s="16" t="s">
        <v>245</v>
      </c>
      <c r="B190" s="17">
        <v>42971</v>
      </c>
      <c r="C190" s="16" t="s">
        <v>58</v>
      </c>
      <c r="D190" s="16" t="s">
        <v>59</v>
      </c>
      <c r="E190" s="16" t="s">
        <v>41</v>
      </c>
      <c r="F190" s="18">
        <v>2537</v>
      </c>
      <c r="G190" s="18">
        <v>6313</v>
      </c>
      <c r="H190" s="18">
        <v>8850</v>
      </c>
      <c r="I190" s="18">
        <v>8850</v>
      </c>
      <c r="J190" s="16" t="s">
        <v>61</v>
      </c>
      <c r="K190" s="16" t="s">
        <v>42</v>
      </c>
      <c r="L190" s="16">
        <v>10</v>
      </c>
    </row>
    <row r="191" spans="1:12" x14ac:dyDescent="0.3">
      <c r="A191" s="19" t="s">
        <v>246</v>
      </c>
      <c r="B191" s="20">
        <v>42971</v>
      </c>
      <c r="C191" s="19" t="s">
        <v>39</v>
      </c>
      <c r="D191" s="19" t="s">
        <v>49</v>
      </c>
      <c r="E191" s="19" t="s">
        <v>52</v>
      </c>
      <c r="F191" s="21">
        <v>5146</v>
      </c>
      <c r="G191" s="21">
        <v>5331</v>
      </c>
      <c r="H191" s="21">
        <v>10477</v>
      </c>
      <c r="I191" s="21">
        <v>4141</v>
      </c>
      <c r="J191" s="19" t="s">
        <v>47</v>
      </c>
      <c r="K191" s="19" t="s">
        <v>37</v>
      </c>
      <c r="L191" s="19"/>
    </row>
    <row r="192" spans="1:12" x14ac:dyDescent="0.3">
      <c r="A192" s="16" t="s">
        <v>247</v>
      </c>
      <c r="B192" s="17">
        <v>42983</v>
      </c>
      <c r="C192" s="16" t="s">
        <v>468</v>
      </c>
      <c r="D192" s="16" t="s">
        <v>59</v>
      </c>
      <c r="E192" s="16" t="s">
        <v>52</v>
      </c>
      <c r="F192" s="18">
        <v>1752</v>
      </c>
      <c r="G192" s="18">
        <v>11645</v>
      </c>
      <c r="H192" s="18">
        <v>13397</v>
      </c>
      <c r="I192" s="18">
        <v>13397</v>
      </c>
      <c r="J192" s="16" t="s">
        <v>47</v>
      </c>
      <c r="K192" s="16" t="s">
        <v>42</v>
      </c>
      <c r="L192" s="16">
        <v>22</v>
      </c>
    </row>
    <row r="193" spans="1:12" x14ac:dyDescent="0.3">
      <c r="A193" s="19" t="s">
        <v>248</v>
      </c>
      <c r="B193" s="20">
        <v>42985</v>
      </c>
      <c r="C193" s="19" t="s">
        <v>58</v>
      </c>
      <c r="D193" s="19" t="s">
        <v>40</v>
      </c>
      <c r="E193" s="19" t="s">
        <v>41</v>
      </c>
      <c r="F193" s="21">
        <v>6557</v>
      </c>
      <c r="G193" s="21">
        <v>14081</v>
      </c>
      <c r="H193" s="21">
        <v>20638</v>
      </c>
      <c r="I193" s="21">
        <v>20638</v>
      </c>
      <c r="J193" s="19" t="s">
        <v>47</v>
      </c>
      <c r="K193" s="19" t="s">
        <v>42</v>
      </c>
      <c r="L193" s="19">
        <v>20</v>
      </c>
    </row>
    <row r="194" spans="1:12" x14ac:dyDescent="0.3">
      <c r="A194" s="16" t="s">
        <v>249</v>
      </c>
      <c r="B194" s="17">
        <v>42990</v>
      </c>
      <c r="C194" s="16" t="s">
        <v>54</v>
      </c>
      <c r="D194" s="16" t="s">
        <v>59</v>
      </c>
      <c r="E194" s="16" t="s">
        <v>41</v>
      </c>
      <c r="F194" s="18">
        <v>3696</v>
      </c>
      <c r="G194" s="18">
        <v>14813</v>
      </c>
      <c r="H194" s="18">
        <v>18509</v>
      </c>
      <c r="I194" s="18">
        <v>842</v>
      </c>
      <c r="J194" s="16" t="s">
        <v>61</v>
      </c>
      <c r="K194" s="16" t="s">
        <v>37</v>
      </c>
      <c r="L194" s="16"/>
    </row>
    <row r="195" spans="1:12" x14ac:dyDescent="0.3">
      <c r="A195" s="19" t="s">
        <v>250</v>
      </c>
      <c r="B195" s="20">
        <v>42992</v>
      </c>
      <c r="C195" s="19" t="s">
        <v>468</v>
      </c>
      <c r="D195" s="19" t="s">
        <v>470</v>
      </c>
      <c r="E195" s="19" t="s">
        <v>41</v>
      </c>
      <c r="F195" s="21">
        <v>6234</v>
      </c>
      <c r="G195" s="21">
        <v>14393</v>
      </c>
      <c r="H195" s="21">
        <v>20627</v>
      </c>
      <c r="I195" s="21">
        <v>20627</v>
      </c>
      <c r="J195" s="19" t="s">
        <v>61</v>
      </c>
      <c r="K195" s="19" t="s">
        <v>42</v>
      </c>
      <c r="L195" s="19">
        <v>23</v>
      </c>
    </row>
    <row r="196" spans="1:12" x14ac:dyDescent="0.3">
      <c r="A196" s="16" t="s">
        <v>251</v>
      </c>
      <c r="B196" s="17">
        <v>43010</v>
      </c>
      <c r="C196" s="16" t="s">
        <v>54</v>
      </c>
      <c r="D196" s="16" t="s">
        <v>470</v>
      </c>
      <c r="E196" s="16" t="s">
        <v>50</v>
      </c>
      <c r="F196" s="18">
        <v>1574</v>
      </c>
      <c r="G196" s="18">
        <v>9641</v>
      </c>
      <c r="H196" s="18">
        <v>11215</v>
      </c>
      <c r="I196" s="18">
        <v>2327</v>
      </c>
      <c r="J196" s="16" t="s">
        <v>61</v>
      </c>
      <c r="K196" s="16" t="s">
        <v>37</v>
      </c>
      <c r="L196" s="16"/>
    </row>
    <row r="197" spans="1:12" x14ac:dyDescent="0.3">
      <c r="A197" s="19" t="s">
        <v>252</v>
      </c>
      <c r="B197" s="20">
        <v>43013</v>
      </c>
      <c r="C197" s="19" t="s">
        <v>58</v>
      </c>
      <c r="D197" s="19" t="s">
        <v>56</v>
      </c>
      <c r="E197" s="19" t="s">
        <v>46</v>
      </c>
      <c r="F197" s="21">
        <v>1113</v>
      </c>
      <c r="G197" s="21">
        <v>5200</v>
      </c>
      <c r="H197" s="21">
        <v>6313</v>
      </c>
      <c r="I197" s="21">
        <v>2851</v>
      </c>
      <c r="J197" s="19" t="s">
        <v>36</v>
      </c>
      <c r="K197" s="19" t="s">
        <v>37</v>
      </c>
      <c r="L197" s="19"/>
    </row>
    <row r="198" spans="1:12" x14ac:dyDescent="0.3">
      <c r="A198" s="16" t="s">
        <v>253</v>
      </c>
      <c r="B198" s="17">
        <v>43019</v>
      </c>
      <c r="C198" s="16" t="s">
        <v>468</v>
      </c>
      <c r="D198" s="16" t="s">
        <v>56</v>
      </c>
      <c r="E198" s="16" t="s">
        <v>46</v>
      </c>
      <c r="F198" s="18">
        <v>5692</v>
      </c>
      <c r="G198" s="18">
        <v>6672</v>
      </c>
      <c r="H198" s="18">
        <v>12364</v>
      </c>
      <c r="I198" s="18">
        <v>12364</v>
      </c>
      <c r="J198" s="16" t="s">
        <v>36</v>
      </c>
      <c r="K198" s="16" t="s">
        <v>42</v>
      </c>
      <c r="L198" s="16">
        <v>5</v>
      </c>
    </row>
    <row r="199" spans="1:12" x14ac:dyDescent="0.3">
      <c r="A199" s="19" t="s">
        <v>254</v>
      </c>
      <c r="B199" s="20">
        <v>43020</v>
      </c>
      <c r="C199" s="19" t="s">
        <v>33</v>
      </c>
      <c r="D199" s="19" t="s">
        <v>49</v>
      </c>
      <c r="E199" s="19" t="s">
        <v>46</v>
      </c>
      <c r="F199" s="21">
        <v>6324</v>
      </c>
      <c r="G199" s="21">
        <v>12907</v>
      </c>
      <c r="H199" s="21">
        <v>19231</v>
      </c>
      <c r="I199" s="21">
        <v>19231</v>
      </c>
      <c r="J199" s="19" t="s">
        <v>47</v>
      </c>
      <c r="K199" s="19" t="s">
        <v>42</v>
      </c>
      <c r="L199" s="19">
        <v>5</v>
      </c>
    </row>
    <row r="200" spans="1:12" x14ac:dyDescent="0.3">
      <c r="A200" s="16" t="s">
        <v>255</v>
      </c>
      <c r="B200" s="17">
        <v>43026</v>
      </c>
      <c r="C200" s="16" t="s">
        <v>58</v>
      </c>
      <c r="D200" s="16" t="s">
        <v>45</v>
      </c>
      <c r="E200" s="16" t="s">
        <v>46</v>
      </c>
      <c r="F200" s="18">
        <v>7182</v>
      </c>
      <c r="G200" s="18">
        <v>11717</v>
      </c>
      <c r="H200" s="18">
        <v>18899</v>
      </c>
      <c r="I200" s="18">
        <v>7840</v>
      </c>
      <c r="J200" s="16" t="s">
        <v>36</v>
      </c>
      <c r="K200" s="16" t="s">
        <v>37</v>
      </c>
      <c r="L200" s="16"/>
    </row>
    <row r="201" spans="1:12" x14ac:dyDescent="0.3">
      <c r="A201" s="19" t="s">
        <v>256</v>
      </c>
      <c r="B201" s="20">
        <v>43028</v>
      </c>
      <c r="C201" s="19" t="s">
        <v>39</v>
      </c>
      <c r="D201" s="19" t="s">
        <v>59</v>
      </c>
      <c r="E201" s="19" t="s">
        <v>60</v>
      </c>
      <c r="F201" s="21">
        <v>4207</v>
      </c>
      <c r="G201" s="21">
        <v>12453</v>
      </c>
      <c r="H201" s="21">
        <v>16660</v>
      </c>
      <c r="I201" s="21">
        <v>16660</v>
      </c>
      <c r="J201" s="19" t="s">
        <v>47</v>
      </c>
      <c r="K201" s="19" t="s">
        <v>42</v>
      </c>
      <c r="L201" s="19">
        <v>10</v>
      </c>
    </row>
    <row r="202" spans="1:12" x14ac:dyDescent="0.3">
      <c r="A202" s="16" t="s">
        <v>257</v>
      </c>
      <c r="B202" s="17">
        <v>43029</v>
      </c>
      <c r="C202" s="16" t="s">
        <v>54</v>
      </c>
      <c r="D202" s="16" t="s">
        <v>56</v>
      </c>
      <c r="E202" s="16" t="s">
        <v>71</v>
      </c>
      <c r="F202" s="18">
        <v>2369</v>
      </c>
      <c r="G202" s="18">
        <v>3616</v>
      </c>
      <c r="H202" s="18">
        <v>5985</v>
      </c>
      <c r="I202" s="18">
        <v>574</v>
      </c>
      <c r="J202" s="16" t="s">
        <v>47</v>
      </c>
      <c r="K202" s="16" t="s">
        <v>37</v>
      </c>
      <c r="L202" s="16"/>
    </row>
    <row r="203" spans="1:12" x14ac:dyDescent="0.3">
      <c r="A203" s="19" t="s">
        <v>258</v>
      </c>
      <c r="B203" s="20">
        <v>43054</v>
      </c>
      <c r="C203" s="19" t="s">
        <v>39</v>
      </c>
      <c r="D203" s="19" t="s">
        <v>56</v>
      </c>
      <c r="E203" s="19" t="s">
        <v>35</v>
      </c>
      <c r="F203" s="21">
        <v>7031</v>
      </c>
      <c r="G203" s="21">
        <v>6570</v>
      </c>
      <c r="H203" s="21">
        <v>13601</v>
      </c>
      <c r="I203" s="21">
        <v>13601</v>
      </c>
      <c r="J203" s="19" t="s">
        <v>36</v>
      </c>
      <c r="K203" s="19" t="s">
        <v>42</v>
      </c>
      <c r="L203" s="19">
        <v>10</v>
      </c>
    </row>
    <row r="204" spans="1:12" x14ac:dyDescent="0.3">
      <c r="A204" s="16" t="s">
        <v>259</v>
      </c>
      <c r="B204" s="17">
        <v>43090</v>
      </c>
      <c r="C204" s="16" t="s">
        <v>54</v>
      </c>
      <c r="D204" s="16" t="s">
        <v>59</v>
      </c>
      <c r="E204" s="16" t="s">
        <v>35</v>
      </c>
      <c r="F204" s="18">
        <v>7859</v>
      </c>
      <c r="G204" s="18">
        <v>12657</v>
      </c>
      <c r="H204" s="18">
        <v>20516</v>
      </c>
      <c r="I204" s="18">
        <v>20516</v>
      </c>
      <c r="J204" s="16" t="s">
        <v>64</v>
      </c>
      <c r="K204" s="16" t="s">
        <v>42</v>
      </c>
      <c r="L204" s="16">
        <v>13</v>
      </c>
    </row>
    <row r="205" spans="1:12" x14ac:dyDescent="0.3">
      <c r="A205" s="19" t="s">
        <v>260</v>
      </c>
      <c r="B205" s="20">
        <v>43109</v>
      </c>
      <c r="C205" s="19" t="s">
        <v>54</v>
      </c>
      <c r="D205" s="19" t="s">
        <v>59</v>
      </c>
      <c r="E205" s="19" t="s">
        <v>52</v>
      </c>
      <c r="F205" s="21">
        <v>3060</v>
      </c>
      <c r="G205" s="21">
        <v>3609</v>
      </c>
      <c r="H205" s="21">
        <v>6669</v>
      </c>
      <c r="I205" s="21">
        <v>6669</v>
      </c>
      <c r="J205" s="19" t="s">
        <v>47</v>
      </c>
      <c r="K205" s="19" t="s">
        <v>42</v>
      </c>
      <c r="L205" s="19">
        <v>30</v>
      </c>
    </row>
    <row r="206" spans="1:12" x14ac:dyDescent="0.3">
      <c r="A206" s="16" t="s">
        <v>261</v>
      </c>
      <c r="B206" s="17">
        <v>43110</v>
      </c>
      <c r="C206" s="16" t="s">
        <v>468</v>
      </c>
      <c r="D206" s="16" t="s">
        <v>470</v>
      </c>
      <c r="E206" s="16" t="s">
        <v>60</v>
      </c>
      <c r="F206" s="18">
        <v>6528</v>
      </c>
      <c r="G206" s="18">
        <v>5337</v>
      </c>
      <c r="H206" s="18">
        <v>11865</v>
      </c>
      <c r="I206" s="18">
        <v>11865</v>
      </c>
      <c r="J206" s="16" t="s">
        <v>47</v>
      </c>
      <c r="K206" s="16" t="s">
        <v>42</v>
      </c>
      <c r="L206" s="16">
        <v>26</v>
      </c>
    </row>
    <row r="207" spans="1:12" x14ac:dyDescent="0.3">
      <c r="A207" s="19" t="s">
        <v>262</v>
      </c>
      <c r="B207" s="20">
        <v>43117</v>
      </c>
      <c r="C207" s="19" t="s">
        <v>54</v>
      </c>
      <c r="D207" s="19" t="s">
        <v>49</v>
      </c>
      <c r="E207" s="19" t="s">
        <v>52</v>
      </c>
      <c r="F207" s="21">
        <v>5257</v>
      </c>
      <c r="G207" s="21">
        <v>8812</v>
      </c>
      <c r="H207" s="21">
        <v>14069</v>
      </c>
      <c r="I207" s="21">
        <v>14069</v>
      </c>
      <c r="J207" s="19" t="s">
        <v>47</v>
      </c>
      <c r="K207" s="19" t="s">
        <v>42</v>
      </c>
      <c r="L207" s="19">
        <v>12</v>
      </c>
    </row>
    <row r="208" spans="1:12" x14ac:dyDescent="0.3">
      <c r="A208" s="16" t="s">
        <v>263</v>
      </c>
      <c r="B208" s="17">
        <v>43118</v>
      </c>
      <c r="C208" s="16" t="s">
        <v>468</v>
      </c>
      <c r="D208" s="16" t="s">
        <v>49</v>
      </c>
      <c r="E208" s="16" t="s">
        <v>52</v>
      </c>
      <c r="F208" s="18">
        <v>3822</v>
      </c>
      <c r="G208" s="18">
        <v>8157</v>
      </c>
      <c r="H208" s="18">
        <v>11979</v>
      </c>
      <c r="I208" s="18">
        <v>11979</v>
      </c>
      <c r="J208" s="16" t="s">
        <v>64</v>
      </c>
      <c r="K208" s="16" t="s">
        <v>42</v>
      </c>
      <c r="L208" s="16">
        <v>19</v>
      </c>
    </row>
    <row r="209" spans="1:12" x14ac:dyDescent="0.3">
      <c r="A209" s="19" t="s">
        <v>264</v>
      </c>
      <c r="B209" s="20">
        <v>43120</v>
      </c>
      <c r="C209" s="19" t="s">
        <v>468</v>
      </c>
      <c r="D209" s="19" t="s">
        <v>56</v>
      </c>
      <c r="E209" s="19" t="s">
        <v>52</v>
      </c>
      <c r="F209" s="21">
        <v>1794</v>
      </c>
      <c r="G209" s="21">
        <v>3792</v>
      </c>
      <c r="H209" s="21">
        <v>5586</v>
      </c>
      <c r="I209" s="21">
        <v>5586</v>
      </c>
      <c r="J209" s="19" t="s">
        <v>47</v>
      </c>
      <c r="K209" s="19" t="s">
        <v>42</v>
      </c>
      <c r="L209" s="19">
        <v>7</v>
      </c>
    </row>
    <row r="210" spans="1:12" x14ac:dyDescent="0.3">
      <c r="A210" s="16" t="s">
        <v>265</v>
      </c>
      <c r="B210" s="17">
        <v>43121</v>
      </c>
      <c r="C210" s="16" t="s">
        <v>54</v>
      </c>
      <c r="D210" s="16" t="s">
        <v>49</v>
      </c>
      <c r="E210" s="16" t="s">
        <v>71</v>
      </c>
      <c r="F210" s="18">
        <v>1719</v>
      </c>
      <c r="G210" s="18">
        <v>1511</v>
      </c>
      <c r="H210" s="18">
        <v>3230</v>
      </c>
      <c r="I210" s="18">
        <v>3230</v>
      </c>
      <c r="J210" s="16" t="s">
        <v>36</v>
      </c>
      <c r="K210" s="16" t="s">
        <v>42</v>
      </c>
      <c r="L210" s="16">
        <v>18</v>
      </c>
    </row>
    <row r="211" spans="1:12" x14ac:dyDescent="0.3">
      <c r="A211" s="19" t="s">
        <v>266</v>
      </c>
      <c r="B211" s="20">
        <v>43122</v>
      </c>
      <c r="C211" s="19" t="s">
        <v>54</v>
      </c>
      <c r="D211" s="19" t="s">
        <v>470</v>
      </c>
      <c r="E211" s="19" t="s">
        <v>71</v>
      </c>
      <c r="F211" s="21">
        <v>3330</v>
      </c>
      <c r="G211" s="21">
        <v>3453</v>
      </c>
      <c r="H211" s="21">
        <v>6783</v>
      </c>
      <c r="I211" s="21">
        <v>6783</v>
      </c>
      <c r="J211" s="19" t="s">
        <v>47</v>
      </c>
      <c r="K211" s="19" t="s">
        <v>42</v>
      </c>
      <c r="L211" s="19">
        <v>10</v>
      </c>
    </row>
    <row r="212" spans="1:12" x14ac:dyDescent="0.3">
      <c r="A212" s="16" t="s">
        <v>267</v>
      </c>
      <c r="B212" s="17">
        <v>43134</v>
      </c>
      <c r="C212" s="16" t="s">
        <v>58</v>
      </c>
      <c r="D212" s="16" t="s">
        <v>470</v>
      </c>
      <c r="E212" s="16" t="s">
        <v>41</v>
      </c>
      <c r="F212" s="18">
        <v>3710</v>
      </c>
      <c r="G212" s="18">
        <v>3932</v>
      </c>
      <c r="H212" s="18">
        <v>7642</v>
      </c>
      <c r="I212" s="18">
        <v>7642</v>
      </c>
      <c r="J212" s="16" t="s">
        <v>64</v>
      </c>
      <c r="K212" s="16" t="s">
        <v>42</v>
      </c>
      <c r="L212" s="16">
        <v>22</v>
      </c>
    </row>
    <row r="213" spans="1:12" x14ac:dyDescent="0.3">
      <c r="A213" s="19" t="s">
        <v>268</v>
      </c>
      <c r="B213" s="20">
        <v>43134</v>
      </c>
      <c r="C213" s="19" t="s">
        <v>58</v>
      </c>
      <c r="D213" s="19" t="s">
        <v>68</v>
      </c>
      <c r="E213" s="19" t="s">
        <v>71</v>
      </c>
      <c r="F213" s="21">
        <v>3217</v>
      </c>
      <c r="G213" s="21">
        <v>5852</v>
      </c>
      <c r="H213" s="21">
        <v>9069</v>
      </c>
      <c r="I213" s="21">
        <v>1438</v>
      </c>
      <c r="J213" s="19" t="s">
        <v>36</v>
      </c>
      <c r="K213" s="19" t="s">
        <v>37</v>
      </c>
      <c r="L213" s="19"/>
    </row>
    <row r="214" spans="1:12" x14ac:dyDescent="0.3">
      <c r="A214" s="16" t="s">
        <v>269</v>
      </c>
      <c r="B214" s="17">
        <v>43138</v>
      </c>
      <c r="C214" s="16" t="s">
        <v>468</v>
      </c>
      <c r="D214" s="16" t="s">
        <v>49</v>
      </c>
      <c r="E214" s="16" t="s">
        <v>46</v>
      </c>
      <c r="F214" s="18">
        <v>3032</v>
      </c>
      <c r="G214" s="18">
        <v>14106</v>
      </c>
      <c r="H214" s="18">
        <v>17138</v>
      </c>
      <c r="I214" s="18">
        <v>17138</v>
      </c>
      <c r="J214" s="16" t="s">
        <v>47</v>
      </c>
      <c r="K214" s="16" t="s">
        <v>42</v>
      </c>
      <c r="L214" s="16">
        <v>8</v>
      </c>
    </row>
    <row r="215" spans="1:12" x14ac:dyDescent="0.3">
      <c r="A215" s="19" t="s">
        <v>270</v>
      </c>
      <c r="B215" s="20">
        <v>43140</v>
      </c>
      <c r="C215" s="19" t="s">
        <v>33</v>
      </c>
      <c r="D215" s="19" t="s">
        <v>59</v>
      </c>
      <c r="E215" s="19" t="s">
        <v>60</v>
      </c>
      <c r="F215" s="21">
        <v>5446</v>
      </c>
      <c r="G215" s="21">
        <v>1030</v>
      </c>
      <c r="H215" s="21">
        <v>6476</v>
      </c>
      <c r="I215" s="21">
        <v>6476</v>
      </c>
      <c r="J215" s="19" t="s">
        <v>47</v>
      </c>
      <c r="K215" s="19" t="s">
        <v>42</v>
      </c>
      <c r="L215" s="19">
        <v>21</v>
      </c>
    </row>
    <row r="216" spans="1:12" x14ac:dyDescent="0.3">
      <c r="A216" s="16" t="s">
        <v>271</v>
      </c>
      <c r="B216" s="17">
        <v>43150</v>
      </c>
      <c r="C216" s="16" t="s">
        <v>33</v>
      </c>
      <c r="D216" s="16" t="s">
        <v>68</v>
      </c>
      <c r="E216" s="16" t="s">
        <v>35</v>
      </c>
      <c r="F216" s="18">
        <v>6081</v>
      </c>
      <c r="G216" s="18">
        <v>14659</v>
      </c>
      <c r="H216" s="18">
        <v>20740</v>
      </c>
      <c r="I216" s="18">
        <v>20740</v>
      </c>
      <c r="J216" s="16" t="s">
        <v>47</v>
      </c>
      <c r="K216" s="16" t="s">
        <v>42</v>
      </c>
      <c r="L216" s="16">
        <v>19</v>
      </c>
    </row>
    <row r="217" spans="1:12" x14ac:dyDescent="0.3">
      <c r="A217" s="19" t="s">
        <v>272</v>
      </c>
      <c r="B217" s="20">
        <v>43160</v>
      </c>
      <c r="C217" s="19" t="s">
        <v>468</v>
      </c>
      <c r="D217" s="19" t="s">
        <v>68</v>
      </c>
      <c r="E217" s="19" t="s">
        <v>46</v>
      </c>
      <c r="F217" s="21">
        <v>6627</v>
      </c>
      <c r="G217" s="21">
        <v>14359</v>
      </c>
      <c r="H217" s="21">
        <v>20986</v>
      </c>
      <c r="I217" s="21">
        <v>20986</v>
      </c>
      <c r="J217" s="19" t="s">
        <v>64</v>
      </c>
      <c r="K217" s="19" t="s">
        <v>42</v>
      </c>
      <c r="L217" s="19">
        <v>9</v>
      </c>
    </row>
    <row r="218" spans="1:12" x14ac:dyDescent="0.3">
      <c r="A218" s="16" t="s">
        <v>273</v>
      </c>
      <c r="B218" s="17">
        <v>43161</v>
      </c>
      <c r="C218" s="16" t="s">
        <v>54</v>
      </c>
      <c r="D218" s="16" t="s">
        <v>40</v>
      </c>
      <c r="E218" s="16" t="s">
        <v>41</v>
      </c>
      <c r="F218" s="18">
        <v>2715</v>
      </c>
      <c r="G218" s="18">
        <v>8224</v>
      </c>
      <c r="H218" s="18">
        <v>10939</v>
      </c>
      <c r="I218" s="18">
        <v>10939</v>
      </c>
      <c r="J218" s="16" t="s">
        <v>61</v>
      </c>
      <c r="K218" s="16" t="s">
        <v>42</v>
      </c>
      <c r="L218" s="16">
        <v>19</v>
      </c>
    </row>
    <row r="219" spans="1:12" x14ac:dyDescent="0.3">
      <c r="A219" s="19" t="s">
        <v>274</v>
      </c>
      <c r="B219" s="20">
        <v>43163</v>
      </c>
      <c r="C219" s="19" t="s">
        <v>39</v>
      </c>
      <c r="D219" s="19" t="s">
        <v>45</v>
      </c>
      <c r="E219" s="19" t="s">
        <v>35</v>
      </c>
      <c r="F219" s="21">
        <v>1429</v>
      </c>
      <c r="G219" s="21">
        <v>9903</v>
      </c>
      <c r="H219" s="21">
        <v>11332</v>
      </c>
      <c r="I219" s="21">
        <v>11332</v>
      </c>
      <c r="J219" s="19" t="s">
        <v>61</v>
      </c>
      <c r="K219" s="19" t="s">
        <v>42</v>
      </c>
      <c r="L219" s="19">
        <v>16</v>
      </c>
    </row>
    <row r="220" spans="1:12" x14ac:dyDescent="0.3">
      <c r="A220" s="16" t="s">
        <v>275</v>
      </c>
      <c r="B220" s="17">
        <v>43167</v>
      </c>
      <c r="C220" s="16" t="s">
        <v>33</v>
      </c>
      <c r="D220" s="16" t="s">
        <v>59</v>
      </c>
      <c r="E220" s="16" t="s">
        <v>46</v>
      </c>
      <c r="F220" s="18">
        <v>4148</v>
      </c>
      <c r="G220" s="18">
        <v>13188</v>
      </c>
      <c r="H220" s="18">
        <v>17336</v>
      </c>
      <c r="I220" s="18">
        <v>17336</v>
      </c>
      <c r="J220" s="16" t="s">
        <v>64</v>
      </c>
      <c r="K220" s="16" t="s">
        <v>42</v>
      </c>
      <c r="L220" s="16">
        <v>21</v>
      </c>
    </row>
    <row r="221" spans="1:12" x14ac:dyDescent="0.3">
      <c r="A221" s="19" t="s">
        <v>276</v>
      </c>
      <c r="B221" s="20">
        <v>43192</v>
      </c>
      <c r="C221" s="19" t="s">
        <v>33</v>
      </c>
      <c r="D221" s="19" t="s">
        <v>56</v>
      </c>
      <c r="E221" s="19" t="s">
        <v>60</v>
      </c>
      <c r="F221" s="21">
        <v>4524</v>
      </c>
      <c r="G221" s="21">
        <v>5855</v>
      </c>
      <c r="H221" s="21">
        <v>10379</v>
      </c>
      <c r="I221" s="21">
        <v>10379</v>
      </c>
      <c r="J221" s="19" t="s">
        <v>47</v>
      </c>
      <c r="K221" s="19" t="s">
        <v>42</v>
      </c>
      <c r="L221" s="19">
        <v>24</v>
      </c>
    </row>
    <row r="222" spans="1:12" x14ac:dyDescent="0.3">
      <c r="A222" s="16" t="s">
        <v>277</v>
      </c>
      <c r="B222" s="17">
        <v>43195</v>
      </c>
      <c r="C222" s="16" t="s">
        <v>39</v>
      </c>
      <c r="D222" s="16" t="s">
        <v>45</v>
      </c>
      <c r="E222" s="16" t="s">
        <v>60</v>
      </c>
      <c r="F222" s="18">
        <v>3627</v>
      </c>
      <c r="G222" s="18">
        <v>13165</v>
      </c>
      <c r="H222" s="18">
        <v>16792</v>
      </c>
      <c r="I222" s="18">
        <v>16792</v>
      </c>
      <c r="J222" s="16" t="s">
        <v>64</v>
      </c>
      <c r="K222" s="16" t="s">
        <v>42</v>
      </c>
      <c r="L222" s="16">
        <v>9</v>
      </c>
    </row>
    <row r="223" spans="1:12" x14ac:dyDescent="0.3">
      <c r="A223" s="19" t="s">
        <v>278</v>
      </c>
      <c r="B223" s="20">
        <v>43203</v>
      </c>
      <c r="C223" s="19" t="s">
        <v>468</v>
      </c>
      <c r="D223" s="19" t="s">
        <v>59</v>
      </c>
      <c r="E223" s="19" t="s">
        <v>50</v>
      </c>
      <c r="F223" s="21">
        <v>5134</v>
      </c>
      <c r="G223" s="21">
        <v>4619</v>
      </c>
      <c r="H223" s="21">
        <v>9753</v>
      </c>
      <c r="I223" s="21">
        <v>9753</v>
      </c>
      <c r="J223" s="19" t="s">
        <v>64</v>
      </c>
      <c r="K223" s="19" t="s">
        <v>42</v>
      </c>
      <c r="L223" s="19">
        <v>21</v>
      </c>
    </row>
    <row r="224" spans="1:12" x14ac:dyDescent="0.3">
      <c r="A224" s="16" t="s">
        <v>279</v>
      </c>
      <c r="B224" s="17">
        <v>43206</v>
      </c>
      <c r="C224" s="16" t="s">
        <v>468</v>
      </c>
      <c r="D224" s="16" t="s">
        <v>40</v>
      </c>
      <c r="E224" s="16" t="s">
        <v>50</v>
      </c>
      <c r="F224" s="18">
        <v>2772</v>
      </c>
      <c r="G224" s="18">
        <v>8653</v>
      </c>
      <c r="H224" s="18">
        <v>11425</v>
      </c>
      <c r="I224" s="18">
        <v>11425</v>
      </c>
      <c r="J224" s="16" t="s">
        <v>47</v>
      </c>
      <c r="K224" s="16" t="s">
        <v>42</v>
      </c>
      <c r="L224" s="16">
        <v>7</v>
      </c>
    </row>
    <row r="225" spans="1:12" x14ac:dyDescent="0.3">
      <c r="A225" s="19" t="s">
        <v>280</v>
      </c>
      <c r="B225" s="20">
        <v>43221</v>
      </c>
      <c r="C225" s="19" t="s">
        <v>54</v>
      </c>
      <c r="D225" s="19" t="s">
        <v>470</v>
      </c>
      <c r="E225" s="19" t="s">
        <v>46</v>
      </c>
      <c r="F225" s="21">
        <v>2639</v>
      </c>
      <c r="G225" s="21">
        <v>961</v>
      </c>
      <c r="H225" s="21">
        <v>3600</v>
      </c>
      <c r="I225" s="21">
        <v>3600</v>
      </c>
      <c r="J225" s="19" t="s">
        <v>64</v>
      </c>
      <c r="K225" s="19" t="s">
        <v>42</v>
      </c>
      <c r="L225" s="19">
        <v>29</v>
      </c>
    </row>
    <row r="226" spans="1:12" x14ac:dyDescent="0.3">
      <c r="A226" s="16" t="s">
        <v>281</v>
      </c>
      <c r="B226" s="17">
        <v>43222</v>
      </c>
      <c r="C226" s="16" t="s">
        <v>468</v>
      </c>
      <c r="D226" s="16" t="s">
        <v>59</v>
      </c>
      <c r="E226" s="16" t="s">
        <v>71</v>
      </c>
      <c r="F226" s="18">
        <v>7061</v>
      </c>
      <c r="G226" s="18">
        <v>9508</v>
      </c>
      <c r="H226" s="18">
        <v>16569</v>
      </c>
      <c r="I226" s="18">
        <v>16569</v>
      </c>
      <c r="J226" s="16" t="s">
        <v>64</v>
      </c>
      <c r="K226" s="16" t="s">
        <v>42</v>
      </c>
      <c r="L226" s="16">
        <v>26</v>
      </c>
    </row>
    <row r="227" spans="1:12" x14ac:dyDescent="0.3">
      <c r="A227" s="19" t="s">
        <v>282</v>
      </c>
      <c r="B227" s="20">
        <v>43224</v>
      </c>
      <c r="C227" s="19" t="s">
        <v>33</v>
      </c>
      <c r="D227" s="19" t="s">
        <v>470</v>
      </c>
      <c r="E227" s="19" t="s">
        <v>60</v>
      </c>
      <c r="F227" s="21">
        <v>6922</v>
      </c>
      <c r="G227" s="21">
        <v>766</v>
      </c>
      <c r="H227" s="21">
        <v>7688</v>
      </c>
      <c r="I227" s="21">
        <v>7688</v>
      </c>
      <c r="J227" s="19" t="s">
        <v>64</v>
      </c>
      <c r="K227" s="19" t="s">
        <v>42</v>
      </c>
      <c r="L227" s="19">
        <v>25</v>
      </c>
    </row>
    <row r="228" spans="1:12" x14ac:dyDescent="0.3">
      <c r="A228" s="16" t="s">
        <v>283</v>
      </c>
      <c r="B228" s="17">
        <v>43245</v>
      </c>
      <c r="C228" s="16" t="s">
        <v>58</v>
      </c>
      <c r="D228" s="16" t="s">
        <v>49</v>
      </c>
      <c r="E228" s="16" t="s">
        <v>50</v>
      </c>
      <c r="F228" s="18">
        <v>6606</v>
      </c>
      <c r="G228" s="18">
        <v>1888</v>
      </c>
      <c r="H228" s="18">
        <v>8494</v>
      </c>
      <c r="I228" s="18">
        <v>8494</v>
      </c>
      <c r="J228" s="16" t="s">
        <v>47</v>
      </c>
      <c r="K228" s="16" t="s">
        <v>42</v>
      </c>
      <c r="L228" s="16">
        <v>17</v>
      </c>
    </row>
    <row r="229" spans="1:12" x14ac:dyDescent="0.3">
      <c r="A229" s="19" t="s">
        <v>284</v>
      </c>
      <c r="B229" s="20">
        <v>43249</v>
      </c>
      <c r="C229" s="19" t="s">
        <v>468</v>
      </c>
      <c r="D229" s="19" t="s">
        <v>40</v>
      </c>
      <c r="E229" s="19" t="s">
        <v>50</v>
      </c>
      <c r="F229" s="21">
        <v>7702</v>
      </c>
      <c r="G229" s="21">
        <v>5402</v>
      </c>
      <c r="H229" s="21">
        <v>13104</v>
      </c>
      <c r="I229" s="21">
        <v>13104</v>
      </c>
      <c r="J229" s="19" t="s">
        <v>47</v>
      </c>
      <c r="K229" s="19" t="s">
        <v>42</v>
      </c>
      <c r="L229" s="19">
        <v>16</v>
      </c>
    </row>
    <row r="230" spans="1:12" x14ac:dyDescent="0.3">
      <c r="A230" s="16" t="s">
        <v>285</v>
      </c>
      <c r="B230" s="17">
        <v>43250</v>
      </c>
      <c r="C230" s="16" t="s">
        <v>468</v>
      </c>
      <c r="D230" s="16" t="s">
        <v>59</v>
      </c>
      <c r="E230" s="16" t="s">
        <v>60</v>
      </c>
      <c r="F230" s="18">
        <v>2772</v>
      </c>
      <c r="G230" s="18">
        <v>4024</v>
      </c>
      <c r="H230" s="18">
        <v>6796</v>
      </c>
      <c r="I230" s="18">
        <v>6796</v>
      </c>
      <c r="J230" s="16" t="s">
        <v>64</v>
      </c>
      <c r="K230" s="16" t="s">
        <v>42</v>
      </c>
      <c r="L230" s="16">
        <v>1</v>
      </c>
    </row>
    <row r="231" spans="1:12" x14ac:dyDescent="0.3">
      <c r="A231" s="19" t="s">
        <v>286</v>
      </c>
      <c r="B231" s="20">
        <v>43267</v>
      </c>
      <c r="C231" s="19" t="s">
        <v>468</v>
      </c>
      <c r="D231" s="19" t="s">
        <v>470</v>
      </c>
      <c r="E231" s="19" t="s">
        <v>41</v>
      </c>
      <c r="F231" s="21">
        <v>1539</v>
      </c>
      <c r="G231" s="21">
        <v>13454</v>
      </c>
      <c r="H231" s="21">
        <v>14993</v>
      </c>
      <c r="I231" s="21">
        <v>114</v>
      </c>
      <c r="J231" s="19" t="s">
        <v>61</v>
      </c>
      <c r="K231" s="19" t="s">
        <v>37</v>
      </c>
      <c r="L231" s="19"/>
    </row>
    <row r="232" spans="1:12" x14ac:dyDescent="0.3">
      <c r="A232" s="16" t="s">
        <v>287</v>
      </c>
      <c r="B232" s="17">
        <v>43275</v>
      </c>
      <c r="C232" s="16" t="s">
        <v>33</v>
      </c>
      <c r="D232" s="16" t="s">
        <v>56</v>
      </c>
      <c r="E232" s="16" t="s">
        <v>46</v>
      </c>
      <c r="F232" s="18">
        <v>1933</v>
      </c>
      <c r="G232" s="18">
        <v>8848</v>
      </c>
      <c r="H232" s="18">
        <v>10781</v>
      </c>
      <c r="I232" s="18">
        <v>744</v>
      </c>
      <c r="J232" s="16" t="s">
        <v>64</v>
      </c>
      <c r="K232" s="16" t="s">
        <v>37</v>
      </c>
      <c r="L232" s="16"/>
    </row>
    <row r="233" spans="1:12" x14ac:dyDescent="0.3">
      <c r="A233" s="19" t="s">
        <v>288</v>
      </c>
      <c r="B233" s="20">
        <v>43307</v>
      </c>
      <c r="C233" s="19" t="s">
        <v>58</v>
      </c>
      <c r="D233" s="19" t="s">
        <v>68</v>
      </c>
      <c r="E233" s="19" t="s">
        <v>35</v>
      </c>
      <c r="F233" s="21">
        <v>1594</v>
      </c>
      <c r="G233" s="21">
        <v>11296</v>
      </c>
      <c r="H233" s="21">
        <v>12890</v>
      </c>
      <c r="I233" s="21">
        <v>2902</v>
      </c>
      <c r="J233" s="19" t="s">
        <v>47</v>
      </c>
      <c r="K233" s="19" t="s">
        <v>37</v>
      </c>
      <c r="L233" s="19"/>
    </row>
    <row r="234" spans="1:12" x14ac:dyDescent="0.3">
      <c r="A234" s="16" t="s">
        <v>289</v>
      </c>
      <c r="B234" s="17">
        <v>43327</v>
      </c>
      <c r="C234" s="16" t="s">
        <v>468</v>
      </c>
      <c r="D234" s="16" t="s">
        <v>40</v>
      </c>
      <c r="E234" s="16" t="s">
        <v>41</v>
      </c>
      <c r="F234" s="18">
        <v>7292</v>
      </c>
      <c r="G234" s="18">
        <v>3450</v>
      </c>
      <c r="H234" s="18">
        <v>10742</v>
      </c>
      <c r="I234" s="18">
        <v>10742</v>
      </c>
      <c r="J234" s="16" t="s">
        <v>64</v>
      </c>
      <c r="K234" s="16" t="s">
        <v>42</v>
      </c>
      <c r="L234" s="16">
        <v>5</v>
      </c>
    </row>
    <row r="235" spans="1:12" x14ac:dyDescent="0.3">
      <c r="A235" s="19" t="s">
        <v>290</v>
      </c>
      <c r="B235" s="20">
        <v>43337</v>
      </c>
      <c r="C235" s="19" t="s">
        <v>468</v>
      </c>
      <c r="D235" s="19" t="s">
        <v>56</v>
      </c>
      <c r="E235" s="19" t="s">
        <v>71</v>
      </c>
      <c r="F235" s="21">
        <v>6684</v>
      </c>
      <c r="G235" s="21">
        <v>11909</v>
      </c>
      <c r="H235" s="21">
        <v>18593</v>
      </c>
      <c r="I235" s="21">
        <v>8099</v>
      </c>
      <c r="J235" s="19" t="s">
        <v>47</v>
      </c>
      <c r="K235" s="19" t="s">
        <v>37</v>
      </c>
      <c r="L235" s="19"/>
    </row>
    <row r="236" spans="1:12" x14ac:dyDescent="0.3">
      <c r="A236" s="16" t="s">
        <v>291</v>
      </c>
      <c r="B236" s="17">
        <v>43339</v>
      </c>
      <c r="C236" s="16" t="s">
        <v>39</v>
      </c>
      <c r="D236" s="16" t="s">
        <v>470</v>
      </c>
      <c r="E236" s="16" t="s">
        <v>46</v>
      </c>
      <c r="F236" s="18">
        <v>5245</v>
      </c>
      <c r="G236" s="18">
        <v>8133</v>
      </c>
      <c r="H236" s="18">
        <v>13378</v>
      </c>
      <c r="I236" s="18">
        <v>510</v>
      </c>
      <c r="J236" s="16" t="s">
        <v>36</v>
      </c>
      <c r="K236" s="16" t="s">
        <v>37</v>
      </c>
      <c r="L236" s="16"/>
    </row>
    <row r="237" spans="1:12" x14ac:dyDescent="0.3">
      <c r="A237" s="19" t="s">
        <v>292</v>
      </c>
      <c r="B237" s="20">
        <v>43339</v>
      </c>
      <c r="C237" s="19" t="s">
        <v>33</v>
      </c>
      <c r="D237" s="19" t="s">
        <v>45</v>
      </c>
      <c r="E237" s="19" t="s">
        <v>46</v>
      </c>
      <c r="F237" s="21">
        <v>4959</v>
      </c>
      <c r="G237" s="21">
        <v>4877</v>
      </c>
      <c r="H237" s="21">
        <v>9836</v>
      </c>
      <c r="I237" s="21">
        <v>9836</v>
      </c>
      <c r="J237" s="19" t="s">
        <v>61</v>
      </c>
      <c r="K237" s="19" t="s">
        <v>42</v>
      </c>
      <c r="L237" s="19">
        <v>9</v>
      </c>
    </row>
    <row r="238" spans="1:12" x14ac:dyDescent="0.3">
      <c r="A238" s="16" t="s">
        <v>293</v>
      </c>
      <c r="B238" s="17">
        <v>43344</v>
      </c>
      <c r="C238" s="16" t="s">
        <v>468</v>
      </c>
      <c r="D238" s="16" t="s">
        <v>49</v>
      </c>
      <c r="E238" s="16" t="s">
        <v>35</v>
      </c>
      <c r="F238" s="18">
        <v>7277</v>
      </c>
      <c r="G238" s="18">
        <v>10632</v>
      </c>
      <c r="H238" s="18">
        <v>17909</v>
      </c>
      <c r="I238" s="18">
        <v>17909</v>
      </c>
      <c r="J238" s="16" t="s">
        <v>47</v>
      </c>
      <c r="K238" s="16" t="s">
        <v>42</v>
      </c>
      <c r="L238" s="16">
        <v>24</v>
      </c>
    </row>
    <row r="239" spans="1:12" x14ac:dyDescent="0.3">
      <c r="A239" s="19" t="s">
        <v>294</v>
      </c>
      <c r="B239" s="20">
        <v>43346</v>
      </c>
      <c r="C239" s="19" t="s">
        <v>468</v>
      </c>
      <c r="D239" s="19" t="s">
        <v>40</v>
      </c>
      <c r="E239" s="19" t="s">
        <v>35</v>
      </c>
      <c r="F239" s="21">
        <v>1048</v>
      </c>
      <c r="G239" s="21">
        <v>8659</v>
      </c>
      <c r="H239" s="21">
        <v>9707</v>
      </c>
      <c r="I239" s="21">
        <v>9707</v>
      </c>
      <c r="J239" s="19" t="s">
        <v>61</v>
      </c>
      <c r="K239" s="19" t="s">
        <v>42</v>
      </c>
      <c r="L239" s="19">
        <v>20</v>
      </c>
    </row>
    <row r="240" spans="1:12" x14ac:dyDescent="0.3">
      <c r="A240" s="16" t="s">
        <v>295</v>
      </c>
      <c r="B240" s="17">
        <v>43352</v>
      </c>
      <c r="C240" s="16" t="s">
        <v>58</v>
      </c>
      <c r="D240" s="16" t="s">
        <v>45</v>
      </c>
      <c r="E240" s="16" t="s">
        <v>71</v>
      </c>
      <c r="F240" s="18">
        <v>2108</v>
      </c>
      <c r="G240" s="18">
        <v>13828</v>
      </c>
      <c r="H240" s="18">
        <v>15936</v>
      </c>
      <c r="I240" s="18">
        <v>15936</v>
      </c>
      <c r="J240" s="16" t="s">
        <v>61</v>
      </c>
      <c r="K240" s="16" t="s">
        <v>42</v>
      </c>
      <c r="L240" s="16">
        <v>29</v>
      </c>
    </row>
    <row r="241" spans="1:12" x14ac:dyDescent="0.3">
      <c r="A241" s="19" t="s">
        <v>296</v>
      </c>
      <c r="B241" s="20">
        <v>43360</v>
      </c>
      <c r="C241" s="19" t="s">
        <v>39</v>
      </c>
      <c r="D241" s="19" t="s">
        <v>45</v>
      </c>
      <c r="E241" s="19" t="s">
        <v>35</v>
      </c>
      <c r="F241" s="21">
        <v>5584</v>
      </c>
      <c r="G241" s="21">
        <v>11895</v>
      </c>
      <c r="H241" s="21">
        <v>17479</v>
      </c>
      <c r="I241" s="21">
        <v>17479</v>
      </c>
      <c r="J241" s="19" t="s">
        <v>47</v>
      </c>
      <c r="K241" s="19" t="s">
        <v>42</v>
      </c>
      <c r="L241" s="19">
        <v>27</v>
      </c>
    </row>
    <row r="242" spans="1:12" x14ac:dyDescent="0.3">
      <c r="A242" s="16" t="s">
        <v>297</v>
      </c>
      <c r="B242" s="17">
        <v>43362</v>
      </c>
      <c r="C242" s="16" t="s">
        <v>39</v>
      </c>
      <c r="D242" s="16" t="s">
        <v>40</v>
      </c>
      <c r="E242" s="16" t="s">
        <v>60</v>
      </c>
      <c r="F242" s="18">
        <v>6928</v>
      </c>
      <c r="G242" s="18">
        <v>3351</v>
      </c>
      <c r="H242" s="18">
        <v>10279</v>
      </c>
      <c r="I242" s="18">
        <v>10279</v>
      </c>
      <c r="J242" s="16" t="s">
        <v>64</v>
      </c>
      <c r="K242" s="16" t="s">
        <v>42</v>
      </c>
      <c r="L242" s="16">
        <v>12</v>
      </c>
    </row>
    <row r="243" spans="1:12" x14ac:dyDescent="0.3">
      <c r="A243" s="19" t="s">
        <v>298</v>
      </c>
      <c r="B243" s="20">
        <v>43364</v>
      </c>
      <c r="C243" s="19" t="s">
        <v>468</v>
      </c>
      <c r="D243" s="19" t="s">
        <v>68</v>
      </c>
      <c r="E243" s="19" t="s">
        <v>41</v>
      </c>
      <c r="F243" s="21">
        <v>6908</v>
      </c>
      <c r="G243" s="21">
        <v>1541</v>
      </c>
      <c r="H243" s="21">
        <v>8449</v>
      </c>
      <c r="I243" s="21">
        <v>3672</v>
      </c>
      <c r="J243" s="19" t="s">
        <v>61</v>
      </c>
      <c r="K243" s="19" t="s">
        <v>37</v>
      </c>
      <c r="L243" s="19"/>
    </row>
    <row r="244" spans="1:12" x14ac:dyDescent="0.3">
      <c r="A244" s="16" t="s">
        <v>299</v>
      </c>
      <c r="B244" s="17">
        <v>43366</v>
      </c>
      <c r="C244" s="16" t="s">
        <v>33</v>
      </c>
      <c r="D244" s="16" t="s">
        <v>45</v>
      </c>
      <c r="E244" s="16" t="s">
        <v>60</v>
      </c>
      <c r="F244" s="18">
        <v>1470</v>
      </c>
      <c r="G244" s="18">
        <v>8205</v>
      </c>
      <c r="H244" s="18">
        <v>9675</v>
      </c>
      <c r="I244" s="18">
        <v>9675</v>
      </c>
      <c r="J244" s="16" t="s">
        <v>64</v>
      </c>
      <c r="K244" s="16" t="s">
        <v>42</v>
      </c>
      <c r="L244" s="16">
        <v>23</v>
      </c>
    </row>
    <row r="245" spans="1:12" x14ac:dyDescent="0.3">
      <c r="A245" s="19" t="s">
        <v>300</v>
      </c>
      <c r="B245" s="20">
        <v>43378</v>
      </c>
      <c r="C245" s="19" t="s">
        <v>54</v>
      </c>
      <c r="D245" s="19" t="s">
        <v>59</v>
      </c>
      <c r="E245" s="19" t="s">
        <v>60</v>
      </c>
      <c r="F245" s="21">
        <v>5735</v>
      </c>
      <c r="G245" s="21">
        <v>13973</v>
      </c>
      <c r="H245" s="21">
        <v>19708</v>
      </c>
      <c r="I245" s="21">
        <v>19708</v>
      </c>
      <c r="J245" s="19" t="s">
        <v>61</v>
      </c>
      <c r="K245" s="19" t="s">
        <v>42</v>
      </c>
      <c r="L245" s="19">
        <v>17</v>
      </c>
    </row>
    <row r="246" spans="1:12" x14ac:dyDescent="0.3">
      <c r="A246" s="16" t="s">
        <v>301</v>
      </c>
      <c r="B246" s="17">
        <v>43391</v>
      </c>
      <c r="C246" s="16" t="s">
        <v>468</v>
      </c>
      <c r="D246" s="16" t="s">
        <v>470</v>
      </c>
      <c r="E246" s="16" t="s">
        <v>35</v>
      </c>
      <c r="F246" s="18">
        <v>1510</v>
      </c>
      <c r="G246" s="18">
        <v>7067</v>
      </c>
      <c r="H246" s="18">
        <v>8577</v>
      </c>
      <c r="I246" s="18">
        <v>8577</v>
      </c>
      <c r="J246" s="16" t="s">
        <v>36</v>
      </c>
      <c r="K246" s="16" t="s">
        <v>42</v>
      </c>
      <c r="L246" s="16">
        <v>5</v>
      </c>
    </row>
    <row r="247" spans="1:12" x14ac:dyDescent="0.3">
      <c r="A247" s="19" t="s">
        <v>302</v>
      </c>
      <c r="B247" s="20">
        <v>43398</v>
      </c>
      <c r="C247" s="19" t="s">
        <v>54</v>
      </c>
      <c r="D247" s="19" t="s">
        <v>49</v>
      </c>
      <c r="E247" s="19" t="s">
        <v>41</v>
      </c>
      <c r="F247" s="21">
        <v>3690</v>
      </c>
      <c r="G247" s="21">
        <v>4441</v>
      </c>
      <c r="H247" s="21">
        <v>8131</v>
      </c>
      <c r="I247" s="21">
        <v>767</v>
      </c>
      <c r="J247" s="19" t="s">
        <v>64</v>
      </c>
      <c r="K247" s="19" t="s">
        <v>37</v>
      </c>
      <c r="L247" s="19"/>
    </row>
    <row r="248" spans="1:12" x14ac:dyDescent="0.3">
      <c r="A248" s="16" t="s">
        <v>303</v>
      </c>
      <c r="B248" s="17">
        <v>43408</v>
      </c>
      <c r="C248" s="16" t="s">
        <v>54</v>
      </c>
      <c r="D248" s="16" t="s">
        <v>40</v>
      </c>
      <c r="E248" s="16" t="s">
        <v>41</v>
      </c>
      <c r="F248" s="18">
        <v>6852</v>
      </c>
      <c r="G248" s="18">
        <v>6605</v>
      </c>
      <c r="H248" s="18">
        <v>13457</v>
      </c>
      <c r="I248" s="18">
        <v>13457</v>
      </c>
      <c r="J248" s="16" t="s">
        <v>64</v>
      </c>
      <c r="K248" s="16" t="s">
        <v>42</v>
      </c>
      <c r="L248" s="16">
        <v>17</v>
      </c>
    </row>
    <row r="249" spans="1:12" x14ac:dyDescent="0.3">
      <c r="A249" s="19" t="s">
        <v>304</v>
      </c>
      <c r="B249" s="20">
        <v>43425</v>
      </c>
      <c r="C249" s="19" t="s">
        <v>39</v>
      </c>
      <c r="D249" s="19" t="s">
        <v>68</v>
      </c>
      <c r="E249" s="19" t="s">
        <v>50</v>
      </c>
      <c r="F249" s="21">
        <v>4650</v>
      </c>
      <c r="G249" s="21">
        <v>6200</v>
      </c>
      <c r="H249" s="21">
        <v>10850</v>
      </c>
      <c r="I249" s="21">
        <v>2730</v>
      </c>
      <c r="J249" s="19" t="s">
        <v>61</v>
      </c>
      <c r="K249" s="19" t="s">
        <v>37</v>
      </c>
      <c r="L249" s="19"/>
    </row>
    <row r="250" spans="1:12" x14ac:dyDescent="0.3">
      <c r="A250" s="16" t="s">
        <v>305</v>
      </c>
      <c r="B250" s="17">
        <v>43428</v>
      </c>
      <c r="C250" s="16" t="s">
        <v>54</v>
      </c>
      <c r="D250" s="16" t="s">
        <v>56</v>
      </c>
      <c r="E250" s="16" t="s">
        <v>35</v>
      </c>
      <c r="F250" s="18">
        <v>4369</v>
      </c>
      <c r="G250" s="18">
        <v>10148</v>
      </c>
      <c r="H250" s="18">
        <v>14517</v>
      </c>
      <c r="I250" s="18">
        <v>4292</v>
      </c>
      <c r="J250" s="16" t="s">
        <v>64</v>
      </c>
      <c r="K250" s="16" t="s">
        <v>37</v>
      </c>
      <c r="L250" s="16"/>
    </row>
    <row r="251" spans="1:12" x14ac:dyDescent="0.3">
      <c r="A251" s="19" t="s">
        <v>306</v>
      </c>
      <c r="B251" s="20">
        <v>43434</v>
      </c>
      <c r="C251" s="19" t="s">
        <v>468</v>
      </c>
      <c r="D251" s="19" t="s">
        <v>40</v>
      </c>
      <c r="E251" s="19" t="s">
        <v>50</v>
      </c>
      <c r="F251" s="21">
        <v>3278</v>
      </c>
      <c r="G251" s="21">
        <v>10521</v>
      </c>
      <c r="H251" s="21">
        <v>13799</v>
      </c>
      <c r="I251" s="21">
        <v>13799</v>
      </c>
      <c r="J251" s="19" t="s">
        <v>61</v>
      </c>
      <c r="K251" s="19" t="s">
        <v>42</v>
      </c>
      <c r="L251" s="19">
        <v>21</v>
      </c>
    </row>
    <row r="252" spans="1:12" x14ac:dyDescent="0.3">
      <c r="A252" s="16" t="s">
        <v>307</v>
      </c>
      <c r="B252" s="17">
        <v>43441</v>
      </c>
      <c r="C252" s="16" t="s">
        <v>54</v>
      </c>
      <c r="D252" s="16" t="s">
        <v>40</v>
      </c>
      <c r="E252" s="16" t="s">
        <v>41</v>
      </c>
      <c r="F252" s="18">
        <v>3140</v>
      </c>
      <c r="G252" s="18">
        <v>4341</v>
      </c>
      <c r="H252" s="18">
        <v>7481</v>
      </c>
      <c r="I252" s="18">
        <v>7481</v>
      </c>
      <c r="J252" s="16" t="s">
        <v>61</v>
      </c>
      <c r="K252" s="16" t="s">
        <v>42</v>
      </c>
      <c r="L252" s="16">
        <v>10</v>
      </c>
    </row>
    <row r="253" spans="1:12" x14ac:dyDescent="0.3">
      <c r="A253" s="19" t="s">
        <v>308</v>
      </c>
      <c r="B253" s="20">
        <v>43441</v>
      </c>
      <c r="C253" s="19" t="s">
        <v>54</v>
      </c>
      <c r="D253" s="19" t="s">
        <v>59</v>
      </c>
      <c r="E253" s="19" t="s">
        <v>41</v>
      </c>
      <c r="F253" s="21">
        <v>4422</v>
      </c>
      <c r="G253" s="21">
        <v>10844</v>
      </c>
      <c r="H253" s="21">
        <v>15266</v>
      </c>
      <c r="I253" s="21">
        <v>15266</v>
      </c>
      <c r="J253" s="19" t="s">
        <v>61</v>
      </c>
      <c r="K253" s="19" t="s">
        <v>42</v>
      </c>
      <c r="L253" s="19">
        <v>25</v>
      </c>
    </row>
    <row r="254" spans="1:12" x14ac:dyDescent="0.3">
      <c r="A254" s="16" t="s">
        <v>309</v>
      </c>
      <c r="B254" s="17">
        <v>43444</v>
      </c>
      <c r="C254" s="16" t="s">
        <v>39</v>
      </c>
      <c r="D254" s="16" t="s">
        <v>45</v>
      </c>
      <c r="E254" s="16" t="s">
        <v>71</v>
      </c>
      <c r="F254" s="18">
        <v>3108</v>
      </c>
      <c r="G254" s="18">
        <v>13248</v>
      </c>
      <c r="H254" s="18">
        <v>16356</v>
      </c>
      <c r="I254" s="18">
        <v>4119</v>
      </c>
      <c r="J254" s="16" t="s">
        <v>47</v>
      </c>
      <c r="K254" s="16" t="s">
        <v>37</v>
      </c>
      <c r="L254" s="16"/>
    </row>
    <row r="255" spans="1:12" x14ac:dyDescent="0.3">
      <c r="A255" s="19" t="s">
        <v>310</v>
      </c>
      <c r="B255" s="20">
        <v>43449</v>
      </c>
      <c r="C255" s="19" t="s">
        <v>33</v>
      </c>
      <c r="D255" s="19" t="s">
        <v>49</v>
      </c>
      <c r="E255" s="19" t="s">
        <v>35</v>
      </c>
      <c r="F255" s="21">
        <v>3250</v>
      </c>
      <c r="G255" s="21">
        <v>10968</v>
      </c>
      <c r="H255" s="21">
        <v>14218</v>
      </c>
      <c r="I255" s="21">
        <v>5655</v>
      </c>
      <c r="J255" s="19" t="s">
        <v>61</v>
      </c>
      <c r="K255" s="19" t="s">
        <v>37</v>
      </c>
      <c r="L255" s="19"/>
    </row>
    <row r="256" spans="1:12" x14ac:dyDescent="0.3">
      <c r="A256" s="16" t="s">
        <v>311</v>
      </c>
      <c r="B256" s="17">
        <v>43453</v>
      </c>
      <c r="C256" s="16" t="s">
        <v>33</v>
      </c>
      <c r="D256" s="16" t="s">
        <v>45</v>
      </c>
      <c r="E256" s="16" t="s">
        <v>41</v>
      </c>
      <c r="F256" s="18">
        <v>5621</v>
      </c>
      <c r="G256" s="18">
        <v>7525</v>
      </c>
      <c r="H256" s="18">
        <v>13146</v>
      </c>
      <c r="I256" s="18">
        <v>13146</v>
      </c>
      <c r="J256" s="16" t="s">
        <v>64</v>
      </c>
      <c r="K256" s="16" t="s">
        <v>42</v>
      </c>
      <c r="L256" s="16">
        <v>18</v>
      </c>
    </row>
    <row r="257" spans="1:12" x14ac:dyDescent="0.3">
      <c r="A257" s="19" t="s">
        <v>312</v>
      </c>
      <c r="B257" s="20">
        <v>43456</v>
      </c>
      <c r="C257" s="19" t="s">
        <v>39</v>
      </c>
      <c r="D257" s="19" t="s">
        <v>56</v>
      </c>
      <c r="E257" s="19" t="s">
        <v>41</v>
      </c>
      <c r="F257" s="21">
        <v>7807</v>
      </c>
      <c r="G257" s="21">
        <v>6442</v>
      </c>
      <c r="H257" s="21">
        <v>14249</v>
      </c>
      <c r="I257" s="21">
        <v>14249</v>
      </c>
      <c r="J257" s="19" t="s">
        <v>61</v>
      </c>
      <c r="K257" s="19" t="s">
        <v>42</v>
      </c>
      <c r="L257" s="19">
        <v>21</v>
      </c>
    </row>
    <row r="258" spans="1:12" x14ac:dyDescent="0.3">
      <c r="A258" s="16" t="s">
        <v>313</v>
      </c>
      <c r="B258" s="17">
        <v>43456</v>
      </c>
      <c r="C258" s="16" t="s">
        <v>54</v>
      </c>
      <c r="D258" s="16" t="s">
        <v>68</v>
      </c>
      <c r="E258" s="16" t="s">
        <v>60</v>
      </c>
      <c r="F258" s="18">
        <v>3438</v>
      </c>
      <c r="G258" s="18">
        <v>10466</v>
      </c>
      <c r="H258" s="18">
        <v>13904</v>
      </c>
      <c r="I258" s="18">
        <v>13904</v>
      </c>
      <c r="J258" s="16" t="s">
        <v>36</v>
      </c>
      <c r="K258" s="16" t="s">
        <v>42</v>
      </c>
      <c r="L258" s="16">
        <v>2</v>
      </c>
    </row>
    <row r="259" spans="1:12" x14ac:dyDescent="0.3">
      <c r="A259" s="19" t="s">
        <v>314</v>
      </c>
      <c r="B259" s="20">
        <v>43458</v>
      </c>
      <c r="C259" s="19" t="s">
        <v>33</v>
      </c>
      <c r="D259" s="19" t="s">
        <v>59</v>
      </c>
      <c r="E259" s="19" t="s">
        <v>60</v>
      </c>
      <c r="F259" s="21">
        <v>1146</v>
      </c>
      <c r="G259" s="21">
        <v>12408</v>
      </c>
      <c r="H259" s="21">
        <v>13554</v>
      </c>
      <c r="I259" s="21">
        <v>13554</v>
      </c>
      <c r="J259" s="19" t="s">
        <v>47</v>
      </c>
      <c r="K259" s="19" t="s">
        <v>42</v>
      </c>
      <c r="L259" s="19">
        <v>19</v>
      </c>
    </row>
    <row r="260" spans="1:12" x14ac:dyDescent="0.3">
      <c r="A260" s="16" t="s">
        <v>315</v>
      </c>
      <c r="B260" s="17">
        <v>43463</v>
      </c>
      <c r="C260" s="16" t="s">
        <v>54</v>
      </c>
      <c r="D260" s="16" t="s">
        <v>45</v>
      </c>
      <c r="E260" s="16" t="s">
        <v>50</v>
      </c>
      <c r="F260" s="18">
        <v>6386</v>
      </c>
      <c r="G260" s="18">
        <v>14353</v>
      </c>
      <c r="H260" s="18">
        <v>20739</v>
      </c>
      <c r="I260" s="18">
        <v>20739</v>
      </c>
      <c r="J260" s="16" t="s">
        <v>61</v>
      </c>
      <c r="K260" s="16" t="s">
        <v>42</v>
      </c>
      <c r="L260" s="16">
        <v>21</v>
      </c>
    </row>
    <row r="261" spans="1:12" x14ac:dyDescent="0.3">
      <c r="A261" s="19" t="s">
        <v>316</v>
      </c>
      <c r="B261" s="20">
        <v>43478</v>
      </c>
      <c r="C261" s="19" t="s">
        <v>468</v>
      </c>
      <c r="D261" s="19" t="s">
        <v>40</v>
      </c>
      <c r="E261" s="19" t="s">
        <v>71</v>
      </c>
      <c r="F261" s="21">
        <v>6004</v>
      </c>
      <c r="G261" s="21">
        <v>10732</v>
      </c>
      <c r="H261" s="21">
        <v>16736</v>
      </c>
      <c r="I261" s="21">
        <v>16736</v>
      </c>
      <c r="J261" s="19" t="s">
        <v>61</v>
      </c>
      <c r="K261" s="19" t="s">
        <v>42</v>
      </c>
      <c r="L261" s="19">
        <v>27</v>
      </c>
    </row>
    <row r="262" spans="1:12" x14ac:dyDescent="0.3">
      <c r="A262" s="16" t="s">
        <v>317</v>
      </c>
      <c r="B262" s="17">
        <v>43478</v>
      </c>
      <c r="C262" s="16" t="s">
        <v>58</v>
      </c>
      <c r="D262" s="16" t="s">
        <v>49</v>
      </c>
      <c r="E262" s="16" t="s">
        <v>50</v>
      </c>
      <c r="F262" s="18">
        <v>2759</v>
      </c>
      <c r="G262" s="18">
        <v>5570</v>
      </c>
      <c r="H262" s="18">
        <v>8329</v>
      </c>
      <c r="I262" s="18">
        <v>1589</v>
      </c>
      <c r="J262" s="16" t="s">
        <v>61</v>
      </c>
      <c r="K262" s="16" t="s">
        <v>37</v>
      </c>
      <c r="L262" s="16"/>
    </row>
    <row r="263" spans="1:12" x14ac:dyDescent="0.3">
      <c r="A263" s="19" t="s">
        <v>318</v>
      </c>
      <c r="B263" s="20">
        <v>43487</v>
      </c>
      <c r="C263" s="19" t="s">
        <v>33</v>
      </c>
      <c r="D263" s="19" t="s">
        <v>68</v>
      </c>
      <c r="E263" s="19" t="s">
        <v>71</v>
      </c>
      <c r="F263" s="21">
        <v>4198</v>
      </c>
      <c r="G263" s="21">
        <v>1372</v>
      </c>
      <c r="H263" s="21">
        <v>5570</v>
      </c>
      <c r="I263" s="21">
        <v>2056</v>
      </c>
      <c r="J263" s="19" t="s">
        <v>61</v>
      </c>
      <c r="K263" s="19" t="s">
        <v>37</v>
      </c>
      <c r="L263" s="19"/>
    </row>
    <row r="264" spans="1:12" x14ac:dyDescent="0.3">
      <c r="A264" s="16" t="s">
        <v>319</v>
      </c>
      <c r="B264" s="17">
        <v>43503</v>
      </c>
      <c r="C264" s="16" t="s">
        <v>33</v>
      </c>
      <c r="D264" s="16" t="s">
        <v>59</v>
      </c>
      <c r="E264" s="16" t="s">
        <v>60</v>
      </c>
      <c r="F264" s="18">
        <v>6506</v>
      </c>
      <c r="G264" s="18">
        <v>12468</v>
      </c>
      <c r="H264" s="18">
        <v>18974</v>
      </c>
      <c r="I264" s="18">
        <v>2536</v>
      </c>
      <c r="J264" s="16" t="s">
        <v>36</v>
      </c>
      <c r="K264" s="16" t="s">
        <v>37</v>
      </c>
      <c r="L264" s="16"/>
    </row>
    <row r="265" spans="1:12" x14ac:dyDescent="0.3">
      <c r="A265" s="19" t="s">
        <v>320</v>
      </c>
      <c r="B265" s="20">
        <v>43519</v>
      </c>
      <c r="C265" s="19" t="s">
        <v>58</v>
      </c>
      <c r="D265" s="19" t="s">
        <v>470</v>
      </c>
      <c r="E265" s="19" t="s">
        <v>41</v>
      </c>
      <c r="F265" s="21">
        <v>1943</v>
      </c>
      <c r="G265" s="21">
        <v>4540</v>
      </c>
      <c r="H265" s="21">
        <v>6483</v>
      </c>
      <c r="I265" s="21">
        <v>6483</v>
      </c>
      <c r="J265" s="19" t="s">
        <v>47</v>
      </c>
      <c r="K265" s="19" t="s">
        <v>42</v>
      </c>
      <c r="L265" s="19">
        <v>23</v>
      </c>
    </row>
    <row r="266" spans="1:12" x14ac:dyDescent="0.3">
      <c r="A266" s="16" t="s">
        <v>321</v>
      </c>
      <c r="B266" s="17">
        <v>43543</v>
      </c>
      <c r="C266" s="16" t="s">
        <v>468</v>
      </c>
      <c r="D266" s="16" t="s">
        <v>49</v>
      </c>
      <c r="E266" s="16" t="s">
        <v>46</v>
      </c>
      <c r="F266" s="18">
        <v>6273</v>
      </c>
      <c r="G266" s="18">
        <v>6709</v>
      </c>
      <c r="H266" s="18">
        <v>12982</v>
      </c>
      <c r="I266" s="18">
        <v>12982</v>
      </c>
      <c r="J266" s="16" t="s">
        <v>47</v>
      </c>
      <c r="K266" s="16" t="s">
        <v>42</v>
      </c>
      <c r="L266" s="16">
        <v>0</v>
      </c>
    </row>
    <row r="267" spans="1:12" x14ac:dyDescent="0.3">
      <c r="A267" s="19" t="s">
        <v>322</v>
      </c>
      <c r="B267" s="20">
        <v>43552</v>
      </c>
      <c r="C267" s="19" t="s">
        <v>54</v>
      </c>
      <c r="D267" s="19" t="s">
        <v>40</v>
      </c>
      <c r="E267" s="19" t="s">
        <v>50</v>
      </c>
      <c r="F267" s="21">
        <v>6153</v>
      </c>
      <c r="G267" s="21">
        <v>11087</v>
      </c>
      <c r="H267" s="21">
        <v>17240</v>
      </c>
      <c r="I267" s="21">
        <v>17240</v>
      </c>
      <c r="J267" s="19" t="s">
        <v>47</v>
      </c>
      <c r="K267" s="19" t="s">
        <v>42</v>
      </c>
      <c r="L267" s="19">
        <v>1</v>
      </c>
    </row>
    <row r="268" spans="1:12" x14ac:dyDescent="0.3">
      <c r="A268" s="16" t="s">
        <v>323</v>
      </c>
      <c r="B268" s="17">
        <v>43561</v>
      </c>
      <c r="C268" s="16" t="s">
        <v>39</v>
      </c>
      <c r="D268" s="16" t="s">
        <v>49</v>
      </c>
      <c r="E268" s="16" t="s">
        <v>46</v>
      </c>
      <c r="F268" s="18">
        <v>843</v>
      </c>
      <c r="G268" s="18">
        <v>1798</v>
      </c>
      <c r="H268" s="18">
        <v>2641</v>
      </c>
      <c r="I268" s="18">
        <v>2641</v>
      </c>
      <c r="J268" s="16" t="s">
        <v>36</v>
      </c>
      <c r="K268" s="16" t="s">
        <v>42</v>
      </c>
      <c r="L268" s="16">
        <v>8</v>
      </c>
    </row>
    <row r="269" spans="1:12" x14ac:dyDescent="0.3">
      <c r="A269" s="19" t="s">
        <v>324</v>
      </c>
      <c r="B269" s="20">
        <v>43567</v>
      </c>
      <c r="C269" s="19" t="s">
        <v>58</v>
      </c>
      <c r="D269" s="19" t="s">
        <v>56</v>
      </c>
      <c r="E269" s="19" t="s">
        <v>71</v>
      </c>
      <c r="F269" s="21">
        <v>7489</v>
      </c>
      <c r="G269" s="21">
        <v>8041</v>
      </c>
      <c r="H269" s="21">
        <v>15530</v>
      </c>
      <c r="I269" s="21">
        <v>15530</v>
      </c>
      <c r="J269" s="19" t="s">
        <v>36</v>
      </c>
      <c r="K269" s="19" t="s">
        <v>42</v>
      </c>
      <c r="L269" s="19">
        <v>9</v>
      </c>
    </row>
    <row r="270" spans="1:12" x14ac:dyDescent="0.3">
      <c r="A270" s="16" t="s">
        <v>325</v>
      </c>
      <c r="B270" s="17">
        <v>43574</v>
      </c>
      <c r="C270" s="16" t="s">
        <v>54</v>
      </c>
      <c r="D270" s="16" t="s">
        <v>40</v>
      </c>
      <c r="E270" s="16" t="s">
        <v>35</v>
      </c>
      <c r="F270" s="18">
        <v>7114</v>
      </c>
      <c r="G270" s="18">
        <v>2752</v>
      </c>
      <c r="H270" s="18">
        <v>9866</v>
      </c>
      <c r="I270" s="18">
        <v>9866</v>
      </c>
      <c r="J270" s="16" t="s">
        <v>36</v>
      </c>
      <c r="K270" s="16" t="s">
        <v>42</v>
      </c>
      <c r="L270" s="16">
        <v>30</v>
      </c>
    </row>
    <row r="271" spans="1:12" x14ac:dyDescent="0.3">
      <c r="A271" s="19" t="s">
        <v>326</v>
      </c>
      <c r="B271" s="20">
        <v>43580</v>
      </c>
      <c r="C271" s="19" t="s">
        <v>468</v>
      </c>
      <c r="D271" s="19" t="s">
        <v>59</v>
      </c>
      <c r="E271" s="19" t="s">
        <v>71</v>
      </c>
      <c r="F271" s="21">
        <v>2020</v>
      </c>
      <c r="G271" s="21">
        <v>10432</v>
      </c>
      <c r="H271" s="21">
        <v>12452</v>
      </c>
      <c r="I271" s="21">
        <v>12452</v>
      </c>
      <c r="J271" s="19" t="s">
        <v>61</v>
      </c>
      <c r="K271" s="19" t="s">
        <v>42</v>
      </c>
      <c r="L271" s="19">
        <v>10</v>
      </c>
    </row>
    <row r="272" spans="1:12" x14ac:dyDescent="0.3">
      <c r="A272" s="16" t="s">
        <v>327</v>
      </c>
      <c r="B272" s="17">
        <v>43586</v>
      </c>
      <c r="C272" s="16" t="s">
        <v>468</v>
      </c>
      <c r="D272" s="16" t="s">
        <v>56</v>
      </c>
      <c r="E272" s="16" t="s">
        <v>50</v>
      </c>
      <c r="F272" s="18">
        <v>2971</v>
      </c>
      <c r="G272" s="18">
        <v>9145</v>
      </c>
      <c r="H272" s="18">
        <v>12116</v>
      </c>
      <c r="I272" s="18">
        <v>1735</v>
      </c>
      <c r="J272" s="16" t="s">
        <v>36</v>
      </c>
      <c r="K272" s="16" t="s">
        <v>37</v>
      </c>
      <c r="L272" s="16"/>
    </row>
    <row r="273" spans="1:12" x14ac:dyDescent="0.3">
      <c r="A273" s="19" t="s">
        <v>328</v>
      </c>
      <c r="B273" s="20">
        <v>43588</v>
      </c>
      <c r="C273" s="19" t="s">
        <v>39</v>
      </c>
      <c r="D273" s="19" t="s">
        <v>40</v>
      </c>
      <c r="E273" s="19" t="s">
        <v>50</v>
      </c>
      <c r="F273" s="21">
        <v>2433</v>
      </c>
      <c r="G273" s="21">
        <v>12884</v>
      </c>
      <c r="H273" s="21">
        <v>15317</v>
      </c>
      <c r="I273" s="21">
        <v>15317</v>
      </c>
      <c r="J273" s="19" t="s">
        <v>61</v>
      </c>
      <c r="K273" s="19" t="s">
        <v>42</v>
      </c>
      <c r="L273" s="19">
        <v>10</v>
      </c>
    </row>
    <row r="274" spans="1:12" x14ac:dyDescent="0.3">
      <c r="A274" s="16" t="s">
        <v>329</v>
      </c>
      <c r="B274" s="17">
        <v>43607</v>
      </c>
      <c r="C274" s="16" t="s">
        <v>58</v>
      </c>
      <c r="D274" s="16" t="s">
        <v>49</v>
      </c>
      <c r="E274" s="16" t="s">
        <v>52</v>
      </c>
      <c r="F274" s="18">
        <v>5952</v>
      </c>
      <c r="G274" s="18">
        <v>12315</v>
      </c>
      <c r="H274" s="18">
        <v>18267</v>
      </c>
      <c r="I274" s="18">
        <v>2421</v>
      </c>
      <c r="J274" s="16" t="s">
        <v>36</v>
      </c>
      <c r="K274" s="16" t="s">
        <v>37</v>
      </c>
      <c r="L274" s="16"/>
    </row>
    <row r="275" spans="1:12" x14ac:dyDescent="0.3">
      <c r="A275" s="19" t="s">
        <v>330</v>
      </c>
      <c r="B275" s="20">
        <v>43623</v>
      </c>
      <c r="C275" s="19" t="s">
        <v>39</v>
      </c>
      <c r="D275" s="19" t="s">
        <v>56</v>
      </c>
      <c r="E275" s="19" t="s">
        <v>50</v>
      </c>
      <c r="F275" s="21">
        <v>3586</v>
      </c>
      <c r="G275" s="21">
        <v>10439</v>
      </c>
      <c r="H275" s="21">
        <v>14025</v>
      </c>
      <c r="I275" s="21">
        <v>14025</v>
      </c>
      <c r="J275" s="19" t="s">
        <v>61</v>
      </c>
      <c r="K275" s="19" t="s">
        <v>42</v>
      </c>
      <c r="L275" s="19">
        <v>10</v>
      </c>
    </row>
    <row r="276" spans="1:12" x14ac:dyDescent="0.3">
      <c r="A276" s="16" t="s">
        <v>331</v>
      </c>
      <c r="B276" s="17">
        <v>43628</v>
      </c>
      <c r="C276" s="16" t="s">
        <v>58</v>
      </c>
      <c r="D276" s="16" t="s">
        <v>49</v>
      </c>
      <c r="E276" s="16" t="s">
        <v>46</v>
      </c>
      <c r="F276" s="18">
        <v>1883</v>
      </c>
      <c r="G276" s="18">
        <v>12351</v>
      </c>
      <c r="H276" s="18">
        <v>14234</v>
      </c>
      <c r="I276" s="18">
        <v>1990</v>
      </c>
      <c r="J276" s="16" t="s">
        <v>47</v>
      </c>
      <c r="K276" s="16" t="s">
        <v>37</v>
      </c>
      <c r="L276" s="16"/>
    </row>
    <row r="277" spans="1:12" x14ac:dyDescent="0.3">
      <c r="A277" s="19" t="s">
        <v>332</v>
      </c>
      <c r="B277" s="20">
        <v>43633</v>
      </c>
      <c r="C277" s="19" t="s">
        <v>468</v>
      </c>
      <c r="D277" s="19" t="s">
        <v>40</v>
      </c>
      <c r="E277" s="19" t="s">
        <v>52</v>
      </c>
      <c r="F277" s="21">
        <v>3326</v>
      </c>
      <c r="G277" s="21">
        <v>1244</v>
      </c>
      <c r="H277" s="21">
        <v>4570</v>
      </c>
      <c r="I277" s="21">
        <v>4570</v>
      </c>
      <c r="J277" s="19" t="s">
        <v>64</v>
      </c>
      <c r="K277" s="19" t="s">
        <v>42</v>
      </c>
      <c r="L277" s="19">
        <v>12</v>
      </c>
    </row>
    <row r="278" spans="1:12" x14ac:dyDescent="0.3">
      <c r="A278" s="16" t="s">
        <v>333</v>
      </c>
      <c r="B278" s="17">
        <v>43645</v>
      </c>
      <c r="C278" s="16" t="s">
        <v>58</v>
      </c>
      <c r="D278" s="16" t="s">
        <v>59</v>
      </c>
      <c r="E278" s="16" t="s">
        <v>35</v>
      </c>
      <c r="F278" s="18">
        <v>5212</v>
      </c>
      <c r="G278" s="18">
        <v>8435</v>
      </c>
      <c r="H278" s="18">
        <v>13647</v>
      </c>
      <c r="I278" s="18">
        <v>13647</v>
      </c>
      <c r="J278" s="16" t="s">
        <v>47</v>
      </c>
      <c r="K278" s="16" t="s">
        <v>42</v>
      </c>
      <c r="L278" s="16">
        <v>10</v>
      </c>
    </row>
    <row r="279" spans="1:12" x14ac:dyDescent="0.3">
      <c r="A279" s="19" t="s">
        <v>334</v>
      </c>
      <c r="B279" s="20">
        <v>43647</v>
      </c>
      <c r="C279" s="19" t="s">
        <v>54</v>
      </c>
      <c r="D279" s="19" t="s">
        <v>59</v>
      </c>
      <c r="E279" s="19" t="s">
        <v>35</v>
      </c>
      <c r="F279" s="21">
        <v>3767</v>
      </c>
      <c r="G279" s="21">
        <v>10913</v>
      </c>
      <c r="H279" s="21">
        <v>14680</v>
      </c>
      <c r="I279" s="21">
        <v>5794</v>
      </c>
      <c r="J279" s="19" t="s">
        <v>36</v>
      </c>
      <c r="K279" s="19" t="s">
        <v>37</v>
      </c>
      <c r="L279" s="19"/>
    </row>
    <row r="280" spans="1:12" x14ac:dyDescent="0.3">
      <c r="A280" s="16" t="s">
        <v>335</v>
      </c>
      <c r="B280" s="17">
        <v>43651</v>
      </c>
      <c r="C280" s="16" t="s">
        <v>58</v>
      </c>
      <c r="D280" s="16" t="s">
        <v>68</v>
      </c>
      <c r="E280" s="16" t="s">
        <v>50</v>
      </c>
      <c r="F280" s="18">
        <v>1911</v>
      </c>
      <c r="G280" s="18">
        <v>14472</v>
      </c>
      <c r="H280" s="18">
        <v>16383</v>
      </c>
      <c r="I280" s="18">
        <v>16383</v>
      </c>
      <c r="J280" s="16" t="s">
        <v>36</v>
      </c>
      <c r="K280" s="16" t="s">
        <v>42</v>
      </c>
      <c r="L280" s="16">
        <v>14</v>
      </c>
    </row>
    <row r="281" spans="1:12" x14ac:dyDescent="0.3">
      <c r="A281" s="19" t="s">
        <v>336</v>
      </c>
      <c r="B281" s="20">
        <v>43667</v>
      </c>
      <c r="C281" s="19" t="s">
        <v>468</v>
      </c>
      <c r="D281" s="19" t="s">
        <v>45</v>
      </c>
      <c r="E281" s="19" t="s">
        <v>46</v>
      </c>
      <c r="F281" s="21">
        <v>6159</v>
      </c>
      <c r="G281" s="21">
        <v>11518</v>
      </c>
      <c r="H281" s="21">
        <v>17677</v>
      </c>
      <c r="I281" s="21">
        <v>4681</v>
      </c>
      <c r="J281" s="19" t="s">
        <v>64</v>
      </c>
      <c r="K281" s="19" t="s">
        <v>37</v>
      </c>
      <c r="L281" s="19"/>
    </row>
    <row r="282" spans="1:12" x14ac:dyDescent="0.3">
      <c r="A282" s="16" t="s">
        <v>337</v>
      </c>
      <c r="B282" s="17">
        <v>43672</v>
      </c>
      <c r="C282" s="16" t="s">
        <v>39</v>
      </c>
      <c r="D282" s="16" t="s">
        <v>470</v>
      </c>
      <c r="E282" s="16" t="s">
        <v>50</v>
      </c>
      <c r="F282" s="18">
        <v>7331</v>
      </c>
      <c r="G282" s="18">
        <v>9007</v>
      </c>
      <c r="H282" s="18">
        <v>16338</v>
      </c>
      <c r="I282" s="18">
        <v>16338</v>
      </c>
      <c r="J282" s="16" t="s">
        <v>64</v>
      </c>
      <c r="K282" s="16" t="s">
        <v>42</v>
      </c>
      <c r="L282" s="16">
        <v>25</v>
      </c>
    </row>
    <row r="283" spans="1:12" x14ac:dyDescent="0.3">
      <c r="A283" s="19" t="s">
        <v>338</v>
      </c>
      <c r="B283" s="20">
        <v>43687</v>
      </c>
      <c r="C283" s="19" t="s">
        <v>468</v>
      </c>
      <c r="D283" s="19" t="s">
        <v>49</v>
      </c>
      <c r="E283" s="19" t="s">
        <v>60</v>
      </c>
      <c r="F283" s="21">
        <v>934</v>
      </c>
      <c r="G283" s="21">
        <v>10853</v>
      </c>
      <c r="H283" s="21">
        <v>11787</v>
      </c>
      <c r="I283" s="21">
        <v>11787</v>
      </c>
      <c r="J283" s="19" t="s">
        <v>36</v>
      </c>
      <c r="K283" s="19" t="s">
        <v>42</v>
      </c>
      <c r="L283" s="19">
        <v>22</v>
      </c>
    </row>
    <row r="284" spans="1:12" x14ac:dyDescent="0.3">
      <c r="A284" s="16" t="s">
        <v>339</v>
      </c>
      <c r="B284" s="17">
        <v>43698</v>
      </c>
      <c r="C284" s="16" t="s">
        <v>33</v>
      </c>
      <c r="D284" s="16" t="s">
        <v>40</v>
      </c>
      <c r="E284" s="16" t="s">
        <v>71</v>
      </c>
      <c r="F284" s="18">
        <v>1761</v>
      </c>
      <c r="G284" s="18">
        <v>10964</v>
      </c>
      <c r="H284" s="18">
        <v>12725</v>
      </c>
      <c r="I284" s="18">
        <v>12725</v>
      </c>
      <c r="J284" s="16" t="s">
        <v>36</v>
      </c>
      <c r="K284" s="16" t="s">
        <v>42</v>
      </c>
      <c r="L284" s="16">
        <v>11</v>
      </c>
    </row>
    <row r="285" spans="1:12" x14ac:dyDescent="0.3">
      <c r="A285" s="19" t="s">
        <v>340</v>
      </c>
      <c r="B285" s="20">
        <v>43707</v>
      </c>
      <c r="C285" s="19" t="s">
        <v>39</v>
      </c>
      <c r="D285" s="19" t="s">
        <v>45</v>
      </c>
      <c r="E285" s="19" t="s">
        <v>35</v>
      </c>
      <c r="F285" s="21">
        <v>5288</v>
      </c>
      <c r="G285" s="21">
        <v>7805</v>
      </c>
      <c r="H285" s="21">
        <v>13093</v>
      </c>
      <c r="I285" s="21">
        <v>13093</v>
      </c>
      <c r="J285" s="19" t="s">
        <v>47</v>
      </c>
      <c r="K285" s="19" t="s">
        <v>42</v>
      </c>
      <c r="L285" s="19">
        <v>23</v>
      </c>
    </row>
    <row r="286" spans="1:12" x14ac:dyDescent="0.3">
      <c r="A286" s="16" t="s">
        <v>341</v>
      </c>
      <c r="B286" s="17">
        <v>43719</v>
      </c>
      <c r="C286" s="16" t="s">
        <v>468</v>
      </c>
      <c r="D286" s="16" t="s">
        <v>56</v>
      </c>
      <c r="E286" s="16" t="s">
        <v>41</v>
      </c>
      <c r="F286" s="18">
        <v>2052</v>
      </c>
      <c r="G286" s="18">
        <v>6626</v>
      </c>
      <c r="H286" s="18">
        <v>8678</v>
      </c>
      <c r="I286" s="18">
        <v>8678</v>
      </c>
      <c r="J286" s="16" t="s">
        <v>64</v>
      </c>
      <c r="K286" s="16" t="s">
        <v>42</v>
      </c>
      <c r="L286" s="16">
        <v>17</v>
      </c>
    </row>
    <row r="287" spans="1:12" x14ac:dyDescent="0.3">
      <c r="A287" s="19" t="s">
        <v>342</v>
      </c>
      <c r="B287" s="20">
        <v>43725</v>
      </c>
      <c r="C287" s="19" t="s">
        <v>39</v>
      </c>
      <c r="D287" s="19" t="s">
        <v>49</v>
      </c>
      <c r="E287" s="19" t="s">
        <v>46</v>
      </c>
      <c r="F287" s="21">
        <v>1129</v>
      </c>
      <c r="G287" s="21">
        <v>1242</v>
      </c>
      <c r="H287" s="21">
        <v>2371</v>
      </c>
      <c r="I287" s="21">
        <v>2371</v>
      </c>
      <c r="J287" s="19" t="s">
        <v>61</v>
      </c>
      <c r="K287" s="19" t="s">
        <v>42</v>
      </c>
      <c r="L287" s="19">
        <v>4</v>
      </c>
    </row>
    <row r="288" spans="1:12" x14ac:dyDescent="0.3">
      <c r="A288" s="16" t="s">
        <v>343</v>
      </c>
      <c r="B288" s="17">
        <v>43726</v>
      </c>
      <c r="C288" s="16" t="s">
        <v>39</v>
      </c>
      <c r="D288" s="16" t="s">
        <v>40</v>
      </c>
      <c r="E288" s="16" t="s">
        <v>52</v>
      </c>
      <c r="F288" s="18">
        <v>7711</v>
      </c>
      <c r="G288" s="18">
        <v>9285</v>
      </c>
      <c r="H288" s="18">
        <v>16996</v>
      </c>
      <c r="I288" s="18">
        <v>16996</v>
      </c>
      <c r="J288" s="16" t="s">
        <v>64</v>
      </c>
      <c r="K288" s="16" t="s">
        <v>42</v>
      </c>
      <c r="L288" s="16">
        <v>30</v>
      </c>
    </row>
    <row r="289" spans="1:12" x14ac:dyDescent="0.3">
      <c r="A289" s="19" t="s">
        <v>344</v>
      </c>
      <c r="B289" s="20">
        <v>43728</v>
      </c>
      <c r="C289" s="19" t="s">
        <v>58</v>
      </c>
      <c r="D289" s="19" t="s">
        <v>45</v>
      </c>
      <c r="E289" s="19" t="s">
        <v>71</v>
      </c>
      <c r="F289" s="21">
        <v>3662</v>
      </c>
      <c r="G289" s="21">
        <v>6252</v>
      </c>
      <c r="H289" s="21">
        <v>9914</v>
      </c>
      <c r="I289" s="21">
        <v>9914</v>
      </c>
      <c r="J289" s="19" t="s">
        <v>64</v>
      </c>
      <c r="K289" s="19" t="s">
        <v>42</v>
      </c>
      <c r="L289" s="19">
        <v>7</v>
      </c>
    </row>
    <row r="290" spans="1:12" x14ac:dyDescent="0.3">
      <c r="A290" s="16" t="s">
        <v>345</v>
      </c>
      <c r="B290" s="17">
        <v>43730</v>
      </c>
      <c r="C290" s="16" t="s">
        <v>39</v>
      </c>
      <c r="D290" s="16" t="s">
        <v>45</v>
      </c>
      <c r="E290" s="16" t="s">
        <v>35</v>
      </c>
      <c r="F290" s="18">
        <v>1255</v>
      </c>
      <c r="G290" s="18">
        <v>7929</v>
      </c>
      <c r="H290" s="18">
        <v>9184</v>
      </c>
      <c r="I290" s="18">
        <v>9184</v>
      </c>
      <c r="J290" s="16" t="s">
        <v>47</v>
      </c>
      <c r="K290" s="16" t="s">
        <v>42</v>
      </c>
      <c r="L290" s="16">
        <v>16</v>
      </c>
    </row>
    <row r="291" spans="1:12" x14ac:dyDescent="0.3">
      <c r="A291" s="19" t="s">
        <v>346</v>
      </c>
      <c r="B291" s="20">
        <v>43747</v>
      </c>
      <c r="C291" s="19" t="s">
        <v>54</v>
      </c>
      <c r="D291" s="19" t="s">
        <v>40</v>
      </c>
      <c r="E291" s="19" t="s">
        <v>71</v>
      </c>
      <c r="F291" s="21">
        <v>7921</v>
      </c>
      <c r="G291" s="21">
        <v>9389</v>
      </c>
      <c r="H291" s="21">
        <v>17310</v>
      </c>
      <c r="I291" s="21">
        <v>6770</v>
      </c>
      <c r="J291" s="19" t="s">
        <v>64</v>
      </c>
      <c r="K291" s="19" t="s">
        <v>37</v>
      </c>
      <c r="L291" s="19"/>
    </row>
    <row r="292" spans="1:12" x14ac:dyDescent="0.3">
      <c r="A292" s="16" t="s">
        <v>347</v>
      </c>
      <c r="B292" s="17">
        <v>43751</v>
      </c>
      <c r="C292" s="16" t="s">
        <v>468</v>
      </c>
      <c r="D292" s="16" t="s">
        <v>470</v>
      </c>
      <c r="E292" s="16" t="s">
        <v>71</v>
      </c>
      <c r="F292" s="18">
        <v>1565</v>
      </c>
      <c r="G292" s="18">
        <v>13909</v>
      </c>
      <c r="H292" s="18">
        <v>15474</v>
      </c>
      <c r="I292" s="18">
        <v>15474</v>
      </c>
      <c r="J292" s="16" t="s">
        <v>61</v>
      </c>
      <c r="K292" s="16" t="s">
        <v>42</v>
      </c>
      <c r="L292" s="16">
        <v>21</v>
      </c>
    </row>
    <row r="293" spans="1:12" x14ac:dyDescent="0.3">
      <c r="A293" s="19" t="s">
        <v>348</v>
      </c>
      <c r="B293" s="20">
        <v>43763</v>
      </c>
      <c r="C293" s="19" t="s">
        <v>33</v>
      </c>
      <c r="D293" s="19" t="s">
        <v>49</v>
      </c>
      <c r="E293" s="19" t="s">
        <v>71</v>
      </c>
      <c r="F293" s="21">
        <v>6996</v>
      </c>
      <c r="G293" s="21">
        <v>8667</v>
      </c>
      <c r="H293" s="21">
        <v>15663</v>
      </c>
      <c r="I293" s="21">
        <v>6225</v>
      </c>
      <c r="J293" s="19" t="s">
        <v>64</v>
      </c>
      <c r="K293" s="19" t="s">
        <v>37</v>
      </c>
      <c r="L293" s="19"/>
    </row>
    <row r="294" spans="1:12" x14ac:dyDescent="0.3">
      <c r="A294" s="16" t="s">
        <v>349</v>
      </c>
      <c r="B294" s="17">
        <v>43787</v>
      </c>
      <c r="C294" s="16" t="s">
        <v>39</v>
      </c>
      <c r="D294" s="16" t="s">
        <v>56</v>
      </c>
      <c r="E294" s="16" t="s">
        <v>46</v>
      </c>
      <c r="F294" s="18">
        <v>7771</v>
      </c>
      <c r="G294" s="18">
        <v>8761</v>
      </c>
      <c r="H294" s="18">
        <v>16532</v>
      </c>
      <c r="I294" s="18">
        <v>4470</v>
      </c>
      <c r="J294" s="16" t="s">
        <v>36</v>
      </c>
      <c r="K294" s="16" t="s">
        <v>37</v>
      </c>
      <c r="L294" s="16"/>
    </row>
    <row r="295" spans="1:12" x14ac:dyDescent="0.3">
      <c r="A295" s="19" t="s">
        <v>350</v>
      </c>
      <c r="B295" s="20">
        <v>43794</v>
      </c>
      <c r="C295" s="19" t="s">
        <v>39</v>
      </c>
      <c r="D295" s="19" t="s">
        <v>68</v>
      </c>
      <c r="E295" s="19" t="s">
        <v>35</v>
      </c>
      <c r="F295" s="21">
        <v>6718</v>
      </c>
      <c r="G295" s="21">
        <v>2861</v>
      </c>
      <c r="H295" s="21">
        <v>9579</v>
      </c>
      <c r="I295" s="21">
        <v>1264</v>
      </c>
      <c r="J295" s="19" t="s">
        <v>64</v>
      </c>
      <c r="K295" s="19" t="s">
        <v>37</v>
      </c>
      <c r="L295" s="19"/>
    </row>
    <row r="296" spans="1:12" x14ac:dyDescent="0.3">
      <c r="A296" s="16" t="s">
        <v>351</v>
      </c>
      <c r="B296" s="17">
        <v>43812</v>
      </c>
      <c r="C296" s="16" t="s">
        <v>58</v>
      </c>
      <c r="D296" s="16" t="s">
        <v>59</v>
      </c>
      <c r="E296" s="16" t="s">
        <v>60</v>
      </c>
      <c r="F296" s="18">
        <v>4239</v>
      </c>
      <c r="G296" s="18">
        <v>7932</v>
      </c>
      <c r="H296" s="18">
        <v>12171</v>
      </c>
      <c r="I296" s="18">
        <v>12171</v>
      </c>
      <c r="J296" s="16" t="s">
        <v>61</v>
      </c>
      <c r="K296" s="16" t="s">
        <v>42</v>
      </c>
      <c r="L296" s="16">
        <v>5</v>
      </c>
    </row>
    <row r="297" spans="1:12" x14ac:dyDescent="0.3">
      <c r="A297" s="19" t="s">
        <v>352</v>
      </c>
      <c r="B297" s="20">
        <v>43814</v>
      </c>
      <c r="C297" s="19" t="s">
        <v>33</v>
      </c>
      <c r="D297" s="19" t="s">
        <v>59</v>
      </c>
      <c r="E297" s="19" t="s">
        <v>60</v>
      </c>
      <c r="F297" s="21">
        <v>6910</v>
      </c>
      <c r="G297" s="21">
        <v>9517</v>
      </c>
      <c r="H297" s="21">
        <v>16427</v>
      </c>
      <c r="I297" s="21">
        <v>16427</v>
      </c>
      <c r="J297" s="19" t="s">
        <v>47</v>
      </c>
      <c r="K297" s="19" t="s">
        <v>42</v>
      </c>
      <c r="L297" s="19">
        <v>11</v>
      </c>
    </row>
    <row r="298" spans="1:12" x14ac:dyDescent="0.3">
      <c r="A298" s="16" t="s">
        <v>353</v>
      </c>
      <c r="B298" s="17">
        <v>43822</v>
      </c>
      <c r="C298" s="16" t="s">
        <v>39</v>
      </c>
      <c r="D298" s="16" t="s">
        <v>40</v>
      </c>
      <c r="E298" s="16" t="s">
        <v>46</v>
      </c>
      <c r="F298" s="18">
        <v>3835</v>
      </c>
      <c r="G298" s="18">
        <v>1629</v>
      </c>
      <c r="H298" s="18">
        <v>5464</v>
      </c>
      <c r="I298" s="18">
        <v>5464</v>
      </c>
      <c r="J298" s="16" t="s">
        <v>47</v>
      </c>
      <c r="K298" s="16" t="s">
        <v>42</v>
      </c>
      <c r="L298" s="16">
        <v>0</v>
      </c>
    </row>
    <row r="299" spans="1:12" x14ac:dyDescent="0.3">
      <c r="A299" s="19" t="s">
        <v>354</v>
      </c>
      <c r="B299" s="20">
        <v>43823</v>
      </c>
      <c r="C299" s="19" t="s">
        <v>33</v>
      </c>
      <c r="D299" s="19" t="s">
        <v>49</v>
      </c>
      <c r="E299" s="19" t="s">
        <v>71</v>
      </c>
      <c r="F299" s="21">
        <v>3702</v>
      </c>
      <c r="G299" s="21">
        <v>11573</v>
      </c>
      <c r="H299" s="21">
        <v>15275</v>
      </c>
      <c r="I299" s="21">
        <v>15275</v>
      </c>
      <c r="J299" s="19" t="s">
        <v>47</v>
      </c>
      <c r="K299" s="19" t="s">
        <v>42</v>
      </c>
      <c r="L299" s="19">
        <v>19</v>
      </c>
    </row>
    <row r="300" spans="1:12" x14ac:dyDescent="0.3">
      <c r="A300" s="16" t="s">
        <v>355</v>
      </c>
      <c r="B300" s="17">
        <v>43825</v>
      </c>
      <c r="C300" s="16" t="s">
        <v>39</v>
      </c>
      <c r="D300" s="16" t="s">
        <v>470</v>
      </c>
      <c r="E300" s="16" t="s">
        <v>41</v>
      </c>
      <c r="F300" s="18">
        <v>5934</v>
      </c>
      <c r="G300" s="18">
        <v>12275</v>
      </c>
      <c r="H300" s="18">
        <v>18209</v>
      </c>
      <c r="I300" s="18">
        <v>8864</v>
      </c>
      <c r="J300" s="16" t="s">
        <v>64</v>
      </c>
      <c r="K300" s="16" t="s">
        <v>37</v>
      </c>
      <c r="L300" s="16"/>
    </row>
    <row r="301" spans="1:12" x14ac:dyDescent="0.3">
      <c r="A301" s="19" t="s">
        <v>356</v>
      </c>
      <c r="B301" s="20">
        <v>43825</v>
      </c>
      <c r="C301" s="19" t="s">
        <v>54</v>
      </c>
      <c r="D301" s="19" t="s">
        <v>49</v>
      </c>
      <c r="E301" s="19" t="s">
        <v>46</v>
      </c>
      <c r="F301" s="21">
        <v>6050</v>
      </c>
      <c r="G301" s="21">
        <v>3262</v>
      </c>
      <c r="H301" s="21">
        <v>9312</v>
      </c>
      <c r="I301" s="21">
        <v>9312</v>
      </c>
      <c r="J301" s="19" t="s">
        <v>61</v>
      </c>
      <c r="K301" s="19" t="s">
        <v>42</v>
      </c>
      <c r="L301" s="19">
        <v>5</v>
      </c>
    </row>
  </sheetData>
  <autoFilter ref="A1:L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H87"/>
  <sheetViews>
    <sheetView zoomScale="70" zoomScaleNormal="70" workbookViewId="0">
      <pane ySplit="2" topLeftCell="A3" activePane="bottomLeft" state="frozen"/>
      <selection pane="bottomLeft" activeCell="W8" sqref="W8"/>
    </sheetView>
  </sheetViews>
  <sheetFormatPr defaultColWidth="8.6640625" defaultRowHeight="14.4" x14ac:dyDescent="0.3"/>
  <cols>
    <col min="1" max="8" width="20" customWidth="1"/>
  </cols>
  <sheetData>
    <row r="1" spans="1:8" ht="34.5" customHeight="1" x14ac:dyDescent="0.3">
      <c r="A1" s="47" t="s">
        <v>357</v>
      </c>
      <c r="B1" s="47"/>
      <c r="C1" s="47"/>
      <c r="D1" s="47"/>
      <c r="E1" s="47"/>
      <c r="F1" s="47"/>
      <c r="G1" s="47"/>
      <c r="H1" s="47"/>
    </row>
    <row r="2" spans="1:8" x14ac:dyDescent="0.3">
      <c r="A2" s="22" t="s">
        <v>358</v>
      </c>
      <c r="B2" s="22" t="s">
        <v>359</v>
      </c>
      <c r="C2" s="22" t="s">
        <v>360</v>
      </c>
      <c r="D2" s="22" t="s">
        <v>28</v>
      </c>
      <c r="E2" s="22" t="s">
        <v>361</v>
      </c>
      <c r="F2" s="22" t="s">
        <v>362</v>
      </c>
      <c r="G2" s="22" t="s">
        <v>363</v>
      </c>
      <c r="H2" s="22" t="s">
        <v>8</v>
      </c>
    </row>
    <row r="3" spans="1:8" x14ac:dyDescent="0.3">
      <c r="A3" s="19" t="s">
        <v>364</v>
      </c>
      <c r="B3" s="23">
        <v>1</v>
      </c>
      <c r="C3" s="24">
        <v>13861</v>
      </c>
      <c r="D3" s="24">
        <v>4409</v>
      </c>
      <c r="E3" s="24">
        <v>9452</v>
      </c>
      <c r="F3" s="24">
        <v>6972</v>
      </c>
      <c r="G3" s="24">
        <v>6889</v>
      </c>
      <c r="H3" s="25">
        <v>0.318086718130005</v>
      </c>
    </row>
    <row r="4" spans="1:8" x14ac:dyDescent="0.3">
      <c r="A4" s="16" t="s">
        <v>365</v>
      </c>
      <c r="B4" s="26">
        <v>4</v>
      </c>
      <c r="C4" s="27">
        <v>48357</v>
      </c>
      <c r="D4" s="27">
        <v>38160</v>
      </c>
      <c r="E4" s="27">
        <v>10197</v>
      </c>
      <c r="F4" s="27">
        <v>21127</v>
      </c>
      <c r="G4" s="27">
        <v>27230</v>
      </c>
      <c r="H4" s="28">
        <v>0.78913083938209605</v>
      </c>
    </row>
    <row r="5" spans="1:8" x14ac:dyDescent="0.3">
      <c r="A5" s="19" t="s">
        <v>366</v>
      </c>
      <c r="B5" s="23">
        <v>2</v>
      </c>
      <c r="C5" s="24">
        <v>17446</v>
      </c>
      <c r="D5" s="24">
        <v>12592</v>
      </c>
      <c r="E5" s="24">
        <v>4854</v>
      </c>
      <c r="F5" s="24">
        <v>10506</v>
      </c>
      <c r="G5" s="24">
        <v>6940</v>
      </c>
      <c r="H5" s="25">
        <v>0.72177003324544298</v>
      </c>
    </row>
    <row r="6" spans="1:8" x14ac:dyDescent="0.3">
      <c r="A6" s="16" t="s">
        <v>367</v>
      </c>
      <c r="B6" s="26">
        <v>3</v>
      </c>
      <c r="C6" s="27">
        <v>33399</v>
      </c>
      <c r="D6" s="27">
        <v>12908</v>
      </c>
      <c r="E6" s="29">
        <v>20491</v>
      </c>
      <c r="F6" s="27">
        <v>14465</v>
      </c>
      <c r="G6" s="27">
        <v>18934</v>
      </c>
      <c r="H6" s="28">
        <v>0.38647863708494301</v>
      </c>
    </row>
    <row r="7" spans="1:8" x14ac:dyDescent="0.3">
      <c r="A7" s="19" t="s">
        <v>368</v>
      </c>
      <c r="B7" s="23">
        <v>3</v>
      </c>
      <c r="C7" s="24">
        <v>41181</v>
      </c>
      <c r="D7" s="24">
        <v>31980</v>
      </c>
      <c r="E7" s="24">
        <v>9201</v>
      </c>
      <c r="F7" s="24">
        <v>14841</v>
      </c>
      <c r="G7" s="24">
        <v>26340</v>
      </c>
      <c r="H7" s="25">
        <v>0.77657171996794605</v>
      </c>
    </row>
    <row r="8" spans="1:8" x14ac:dyDescent="0.3">
      <c r="A8" s="16" t="s">
        <v>369</v>
      </c>
      <c r="B8" s="26">
        <v>4</v>
      </c>
      <c r="C8" s="27">
        <v>56641</v>
      </c>
      <c r="D8" s="27">
        <v>47920</v>
      </c>
      <c r="E8" s="27">
        <v>8721</v>
      </c>
      <c r="F8" s="27">
        <v>17340</v>
      </c>
      <c r="G8" s="27">
        <v>39301</v>
      </c>
      <c r="H8" s="30">
        <v>0.84603026076516996</v>
      </c>
    </row>
    <row r="9" spans="1:8" x14ac:dyDescent="0.3">
      <c r="A9" s="19" t="s">
        <v>370</v>
      </c>
      <c r="B9" s="23">
        <v>7</v>
      </c>
      <c r="C9" s="24">
        <v>112926</v>
      </c>
      <c r="D9" s="24">
        <v>101130</v>
      </c>
      <c r="E9" s="24">
        <v>11796</v>
      </c>
      <c r="F9" s="24">
        <v>33366</v>
      </c>
      <c r="G9" s="24">
        <v>79560</v>
      </c>
      <c r="H9" s="31">
        <v>0.89554221348493701</v>
      </c>
    </row>
    <row r="10" spans="1:8" x14ac:dyDescent="0.3">
      <c r="A10" s="16" t="s">
        <v>371</v>
      </c>
      <c r="B10" s="26">
        <v>5</v>
      </c>
      <c r="C10" s="27">
        <v>67172</v>
      </c>
      <c r="D10" s="27">
        <v>62031</v>
      </c>
      <c r="E10" s="27">
        <v>5141</v>
      </c>
      <c r="F10" s="27">
        <v>26687</v>
      </c>
      <c r="G10" s="27">
        <v>40485</v>
      </c>
      <c r="H10" s="30">
        <v>0.92346513428214105</v>
      </c>
    </row>
    <row r="11" spans="1:8" x14ac:dyDescent="0.3">
      <c r="A11" s="19" t="s">
        <v>372</v>
      </c>
      <c r="B11" s="23">
        <v>2</v>
      </c>
      <c r="C11" s="24">
        <v>18191</v>
      </c>
      <c r="D11" s="24">
        <v>18191</v>
      </c>
      <c r="E11" s="24">
        <v>0</v>
      </c>
      <c r="F11" s="24">
        <v>4543</v>
      </c>
      <c r="G11" s="24">
        <v>13648</v>
      </c>
      <c r="H11" s="31">
        <v>1</v>
      </c>
    </row>
    <row r="12" spans="1:8" x14ac:dyDescent="0.3">
      <c r="A12" s="16" t="s">
        <v>373</v>
      </c>
      <c r="B12" s="26">
        <v>3</v>
      </c>
      <c r="C12" s="27">
        <v>21757</v>
      </c>
      <c r="D12" s="27">
        <v>15888</v>
      </c>
      <c r="E12" s="27">
        <v>5869</v>
      </c>
      <c r="F12" s="27">
        <v>13820</v>
      </c>
      <c r="G12" s="27">
        <v>7937</v>
      </c>
      <c r="H12" s="28">
        <v>0.73024773636071205</v>
      </c>
    </row>
    <row r="13" spans="1:8" x14ac:dyDescent="0.3">
      <c r="A13" s="19" t="s">
        <v>374</v>
      </c>
      <c r="B13" s="23">
        <v>8</v>
      </c>
      <c r="C13" s="24">
        <v>112898</v>
      </c>
      <c r="D13" s="24">
        <v>85736</v>
      </c>
      <c r="E13" s="32">
        <v>27162</v>
      </c>
      <c r="F13" s="24">
        <v>33546</v>
      </c>
      <c r="G13" s="24">
        <v>79352</v>
      </c>
      <c r="H13" s="25">
        <v>0.75941114988750902</v>
      </c>
    </row>
    <row r="14" spans="1:8" x14ac:dyDescent="0.3">
      <c r="A14" s="16" t="s">
        <v>375</v>
      </c>
      <c r="B14" s="26">
        <v>1</v>
      </c>
      <c r="C14" s="27">
        <v>2048</v>
      </c>
      <c r="D14" s="27">
        <v>2048</v>
      </c>
      <c r="E14" s="27">
        <v>0</v>
      </c>
      <c r="F14" s="27">
        <v>1060</v>
      </c>
      <c r="G14" s="27">
        <v>988</v>
      </c>
      <c r="H14" s="30">
        <v>1</v>
      </c>
    </row>
    <row r="15" spans="1:8" x14ac:dyDescent="0.3">
      <c r="A15" s="19" t="s">
        <v>376</v>
      </c>
      <c r="B15" s="23">
        <v>1</v>
      </c>
      <c r="C15" s="24">
        <v>22246</v>
      </c>
      <c r="D15" s="24">
        <v>22246</v>
      </c>
      <c r="E15" s="24">
        <v>0</v>
      </c>
      <c r="F15" s="24">
        <v>7648</v>
      </c>
      <c r="G15" s="24">
        <v>14598</v>
      </c>
      <c r="H15" s="31">
        <v>1</v>
      </c>
    </row>
    <row r="16" spans="1:8" x14ac:dyDescent="0.3">
      <c r="A16" s="16" t="s">
        <v>377</v>
      </c>
      <c r="B16" s="26">
        <v>5</v>
      </c>
      <c r="C16" s="27">
        <v>55544</v>
      </c>
      <c r="D16" s="27">
        <v>55544</v>
      </c>
      <c r="E16" s="27">
        <v>0</v>
      </c>
      <c r="F16" s="27">
        <v>22358</v>
      </c>
      <c r="G16" s="27">
        <v>33186</v>
      </c>
      <c r="H16" s="30">
        <v>1</v>
      </c>
    </row>
    <row r="17" spans="1:8" x14ac:dyDescent="0.3">
      <c r="A17" s="19" t="s">
        <v>378</v>
      </c>
      <c r="B17" s="23">
        <v>8</v>
      </c>
      <c r="C17" s="24">
        <v>99415</v>
      </c>
      <c r="D17" s="24">
        <v>56187</v>
      </c>
      <c r="E17" s="32">
        <v>43228</v>
      </c>
      <c r="F17" s="24">
        <v>26730</v>
      </c>
      <c r="G17" s="24">
        <v>72685</v>
      </c>
      <c r="H17" s="25">
        <v>0.56517628124528496</v>
      </c>
    </row>
    <row r="18" spans="1:8" x14ac:dyDescent="0.3">
      <c r="A18" s="16" t="s">
        <v>379</v>
      </c>
      <c r="B18" s="26">
        <v>6</v>
      </c>
      <c r="C18" s="27">
        <v>76264</v>
      </c>
      <c r="D18" s="27">
        <v>50891</v>
      </c>
      <c r="E18" s="29">
        <v>25373</v>
      </c>
      <c r="F18" s="27">
        <v>30230</v>
      </c>
      <c r="G18" s="27">
        <v>46034</v>
      </c>
      <c r="H18" s="28">
        <v>0.66730043008496798</v>
      </c>
    </row>
    <row r="19" spans="1:8" x14ac:dyDescent="0.3">
      <c r="A19" s="19" t="s">
        <v>380</v>
      </c>
      <c r="B19" s="23">
        <v>4</v>
      </c>
      <c r="C19" s="24">
        <v>56729</v>
      </c>
      <c r="D19" s="24">
        <v>33284</v>
      </c>
      <c r="E19" s="32">
        <v>23445</v>
      </c>
      <c r="F19" s="24">
        <v>16508</v>
      </c>
      <c r="G19" s="24">
        <v>40221</v>
      </c>
      <c r="H19" s="25">
        <v>0.58671931463625304</v>
      </c>
    </row>
    <row r="20" spans="1:8" x14ac:dyDescent="0.3">
      <c r="A20" s="16" t="s">
        <v>381</v>
      </c>
      <c r="B20" s="26">
        <v>3</v>
      </c>
      <c r="C20" s="27">
        <v>43505</v>
      </c>
      <c r="D20" s="27">
        <v>26256</v>
      </c>
      <c r="E20" s="27">
        <v>17249</v>
      </c>
      <c r="F20" s="27">
        <v>12921</v>
      </c>
      <c r="G20" s="27">
        <v>30584</v>
      </c>
      <c r="H20" s="28">
        <v>0.60351683714515603</v>
      </c>
    </row>
    <row r="21" spans="1:8" x14ac:dyDescent="0.3">
      <c r="A21" s="19" t="s">
        <v>382</v>
      </c>
      <c r="B21" s="23">
        <v>6</v>
      </c>
      <c r="C21" s="24">
        <v>86210</v>
      </c>
      <c r="D21" s="24">
        <v>66993</v>
      </c>
      <c r="E21" s="24">
        <v>19217</v>
      </c>
      <c r="F21" s="24">
        <v>27901</v>
      </c>
      <c r="G21" s="24">
        <v>58309</v>
      </c>
      <c r="H21" s="25">
        <v>0.77709082473030999</v>
      </c>
    </row>
    <row r="22" spans="1:8" x14ac:dyDescent="0.3">
      <c r="A22" s="16" t="s">
        <v>383</v>
      </c>
      <c r="B22" s="26">
        <v>4</v>
      </c>
      <c r="C22" s="27">
        <v>57211</v>
      </c>
      <c r="D22" s="27">
        <v>57211</v>
      </c>
      <c r="E22" s="27">
        <v>0</v>
      </c>
      <c r="F22" s="27">
        <v>21290</v>
      </c>
      <c r="G22" s="27">
        <v>35921</v>
      </c>
      <c r="H22" s="30">
        <v>1</v>
      </c>
    </row>
    <row r="23" spans="1:8" x14ac:dyDescent="0.3">
      <c r="A23" s="19" t="s">
        <v>384</v>
      </c>
      <c r="B23" s="23">
        <v>4</v>
      </c>
      <c r="C23" s="24">
        <v>55224</v>
      </c>
      <c r="D23" s="24">
        <v>41200</v>
      </c>
      <c r="E23" s="24">
        <v>14024</v>
      </c>
      <c r="F23" s="24">
        <v>15133</v>
      </c>
      <c r="G23" s="24">
        <v>40091</v>
      </c>
      <c r="H23" s="25">
        <v>0.74605244096769496</v>
      </c>
    </row>
    <row r="24" spans="1:8" x14ac:dyDescent="0.3">
      <c r="A24" s="16" t="s">
        <v>385</v>
      </c>
      <c r="B24" s="26">
        <v>3</v>
      </c>
      <c r="C24" s="27">
        <v>25655</v>
      </c>
      <c r="D24" s="27">
        <v>18111</v>
      </c>
      <c r="E24" s="27">
        <v>7544</v>
      </c>
      <c r="F24" s="27">
        <v>10632</v>
      </c>
      <c r="G24" s="27">
        <v>15023</v>
      </c>
      <c r="H24" s="28">
        <v>0.70594426037809399</v>
      </c>
    </row>
    <row r="25" spans="1:8" x14ac:dyDescent="0.3">
      <c r="A25" s="19" t="s">
        <v>386</v>
      </c>
      <c r="B25" s="23">
        <v>2</v>
      </c>
      <c r="C25" s="24">
        <v>25781</v>
      </c>
      <c r="D25" s="24">
        <v>25781</v>
      </c>
      <c r="E25" s="24">
        <v>0</v>
      </c>
      <c r="F25" s="24">
        <v>10062</v>
      </c>
      <c r="G25" s="24">
        <v>15719</v>
      </c>
      <c r="H25" s="31">
        <v>1</v>
      </c>
    </row>
    <row r="26" spans="1:8" x14ac:dyDescent="0.3">
      <c r="A26" s="16" t="s">
        <v>387</v>
      </c>
      <c r="B26" s="26">
        <v>5</v>
      </c>
      <c r="C26" s="27">
        <v>62157</v>
      </c>
      <c r="D26" s="27">
        <v>23550</v>
      </c>
      <c r="E26" s="29">
        <v>38607</v>
      </c>
      <c r="F26" s="27">
        <v>17676</v>
      </c>
      <c r="G26" s="27">
        <v>44481</v>
      </c>
      <c r="H26" s="28">
        <v>0.37887928954100097</v>
      </c>
    </row>
    <row r="27" spans="1:8" x14ac:dyDescent="0.3">
      <c r="A27" s="19" t="s">
        <v>388</v>
      </c>
      <c r="B27" s="23">
        <v>3</v>
      </c>
      <c r="C27" s="24">
        <v>47533</v>
      </c>
      <c r="D27" s="24">
        <v>47533</v>
      </c>
      <c r="E27" s="24">
        <v>0</v>
      </c>
      <c r="F27" s="24">
        <v>18814</v>
      </c>
      <c r="G27" s="24">
        <v>28719</v>
      </c>
      <c r="H27" s="31">
        <v>1</v>
      </c>
    </row>
    <row r="28" spans="1:8" x14ac:dyDescent="0.3">
      <c r="A28" s="16" t="s">
        <v>389</v>
      </c>
      <c r="B28" s="26">
        <v>2</v>
      </c>
      <c r="C28" s="27">
        <v>34737</v>
      </c>
      <c r="D28" s="27">
        <v>34737</v>
      </c>
      <c r="E28" s="27">
        <v>0</v>
      </c>
      <c r="F28" s="27">
        <v>8269</v>
      </c>
      <c r="G28" s="27">
        <v>26468</v>
      </c>
      <c r="H28" s="30">
        <v>1</v>
      </c>
    </row>
    <row r="29" spans="1:8" x14ac:dyDescent="0.3">
      <c r="A29" s="19" t="s">
        <v>390</v>
      </c>
      <c r="B29" s="23">
        <v>5</v>
      </c>
      <c r="C29" s="24">
        <v>47159</v>
      </c>
      <c r="D29" s="24">
        <v>36137</v>
      </c>
      <c r="E29" s="24">
        <v>11022</v>
      </c>
      <c r="F29" s="24">
        <v>21486</v>
      </c>
      <c r="G29" s="24">
        <v>25673</v>
      </c>
      <c r="H29" s="25">
        <v>0.76628003138319301</v>
      </c>
    </row>
    <row r="30" spans="1:8" x14ac:dyDescent="0.3">
      <c r="A30" s="16" t="s">
        <v>391</v>
      </c>
      <c r="B30" s="26">
        <v>6</v>
      </c>
      <c r="C30" s="27">
        <v>79612</v>
      </c>
      <c r="D30" s="27">
        <v>50975</v>
      </c>
      <c r="E30" s="29">
        <v>28637</v>
      </c>
      <c r="F30" s="27">
        <v>35231</v>
      </c>
      <c r="G30" s="27">
        <v>44381</v>
      </c>
      <c r="H30" s="28">
        <v>0.64029292066522603</v>
      </c>
    </row>
    <row r="31" spans="1:8" x14ac:dyDescent="0.3">
      <c r="A31" s="19" t="s">
        <v>392</v>
      </c>
      <c r="B31" s="23">
        <v>5</v>
      </c>
      <c r="C31" s="24">
        <v>69910</v>
      </c>
      <c r="D31" s="24">
        <v>69910</v>
      </c>
      <c r="E31" s="24">
        <v>0</v>
      </c>
      <c r="F31" s="24">
        <v>18654</v>
      </c>
      <c r="G31" s="24">
        <v>51256</v>
      </c>
      <c r="H31" s="31">
        <v>1</v>
      </c>
    </row>
    <row r="32" spans="1:8" x14ac:dyDescent="0.3">
      <c r="A32" s="16" t="s">
        <v>393</v>
      </c>
      <c r="B32" s="26">
        <v>5</v>
      </c>
      <c r="C32" s="27">
        <v>75168</v>
      </c>
      <c r="D32" s="27">
        <v>70791</v>
      </c>
      <c r="E32" s="27">
        <v>4377</v>
      </c>
      <c r="F32" s="27">
        <v>33230</v>
      </c>
      <c r="G32" s="27">
        <v>41938</v>
      </c>
      <c r="H32" s="30">
        <v>0.94177043422733098</v>
      </c>
    </row>
    <row r="33" spans="1:8" x14ac:dyDescent="0.3">
      <c r="A33" s="19" t="s">
        <v>394</v>
      </c>
      <c r="B33" s="23">
        <v>5</v>
      </c>
      <c r="C33" s="24">
        <v>51038</v>
      </c>
      <c r="D33" s="24">
        <v>47422</v>
      </c>
      <c r="E33" s="24">
        <v>3616</v>
      </c>
      <c r="F33" s="24">
        <v>21758</v>
      </c>
      <c r="G33" s="24">
        <v>29280</v>
      </c>
      <c r="H33" s="31">
        <v>0.92915082879423205</v>
      </c>
    </row>
    <row r="34" spans="1:8" x14ac:dyDescent="0.3">
      <c r="A34" s="16" t="s">
        <v>395</v>
      </c>
      <c r="B34" s="26">
        <v>2</v>
      </c>
      <c r="C34" s="27">
        <v>25322</v>
      </c>
      <c r="D34" s="27">
        <v>25322</v>
      </c>
      <c r="E34" s="27">
        <v>0</v>
      </c>
      <c r="F34" s="27">
        <v>3776</v>
      </c>
      <c r="G34" s="27">
        <v>21546</v>
      </c>
      <c r="H34" s="30">
        <v>1</v>
      </c>
    </row>
    <row r="35" spans="1:8" x14ac:dyDescent="0.3">
      <c r="A35" s="19" t="s">
        <v>396</v>
      </c>
      <c r="B35" s="23">
        <v>6</v>
      </c>
      <c r="C35" s="24">
        <v>62381</v>
      </c>
      <c r="D35" s="24">
        <v>48049</v>
      </c>
      <c r="E35" s="24">
        <v>14332</v>
      </c>
      <c r="F35" s="24">
        <v>30081</v>
      </c>
      <c r="G35" s="24">
        <v>32300</v>
      </c>
      <c r="H35" s="25">
        <v>0.77025055706064405</v>
      </c>
    </row>
    <row r="36" spans="1:8" x14ac:dyDescent="0.3">
      <c r="A36" s="16" t="s">
        <v>397</v>
      </c>
      <c r="B36" s="26">
        <v>8</v>
      </c>
      <c r="C36" s="27">
        <v>102105</v>
      </c>
      <c r="D36" s="27">
        <v>82698</v>
      </c>
      <c r="E36" s="27">
        <v>19407</v>
      </c>
      <c r="F36" s="27">
        <v>37723</v>
      </c>
      <c r="G36" s="27">
        <v>64382</v>
      </c>
      <c r="H36" s="30">
        <v>0.80993095343029198</v>
      </c>
    </row>
    <row r="37" spans="1:8" x14ac:dyDescent="0.3">
      <c r="A37" s="19" t="s">
        <v>398</v>
      </c>
      <c r="B37" s="23">
        <v>6</v>
      </c>
      <c r="C37" s="24">
        <v>70187</v>
      </c>
      <c r="D37" s="24">
        <v>58518</v>
      </c>
      <c r="E37" s="24">
        <v>11669</v>
      </c>
      <c r="F37" s="24">
        <v>32793</v>
      </c>
      <c r="G37" s="24">
        <v>37394</v>
      </c>
      <c r="H37" s="31">
        <v>0.83374414065282698</v>
      </c>
    </row>
    <row r="38" spans="1:8" x14ac:dyDescent="0.3">
      <c r="A38" s="16" t="s">
        <v>399</v>
      </c>
      <c r="B38" s="26">
        <v>7</v>
      </c>
      <c r="C38" s="27">
        <v>80446</v>
      </c>
      <c r="D38" s="27">
        <v>70603</v>
      </c>
      <c r="E38" s="27">
        <v>9843</v>
      </c>
      <c r="F38" s="27">
        <v>24000</v>
      </c>
      <c r="G38" s="27">
        <v>56446</v>
      </c>
      <c r="H38" s="30">
        <v>0.87764463118116498</v>
      </c>
    </row>
    <row r="39" spans="1:8" x14ac:dyDescent="0.3">
      <c r="A39" s="19" t="s">
        <v>400</v>
      </c>
      <c r="B39" s="23">
        <v>4</v>
      </c>
      <c r="C39" s="24">
        <v>43044</v>
      </c>
      <c r="D39" s="24">
        <v>43044</v>
      </c>
      <c r="E39" s="24">
        <v>0</v>
      </c>
      <c r="F39" s="24">
        <v>15585</v>
      </c>
      <c r="G39" s="24">
        <v>27459</v>
      </c>
      <c r="H39" s="31">
        <v>1</v>
      </c>
    </row>
    <row r="40" spans="1:8" x14ac:dyDescent="0.3">
      <c r="A40" s="16" t="s">
        <v>401</v>
      </c>
      <c r="B40" s="26">
        <v>3</v>
      </c>
      <c r="C40" s="27">
        <v>28876</v>
      </c>
      <c r="D40" s="27">
        <v>15957</v>
      </c>
      <c r="E40" s="27">
        <v>12919</v>
      </c>
      <c r="F40" s="27">
        <v>20396</v>
      </c>
      <c r="G40" s="27">
        <v>8480</v>
      </c>
      <c r="H40" s="28">
        <v>0.55260423881424003</v>
      </c>
    </row>
    <row r="41" spans="1:8" x14ac:dyDescent="0.3">
      <c r="A41" s="19" t="s">
        <v>402</v>
      </c>
      <c r="B41" s="23">
        <v>3</v>
      </c>
      <c r="C41" s="24">
        <v>46658</v>
      </c>
      <c r="D41" s="24">
        <v>46658</v>
      </c>
      <c r="E41" s="24">
        <v>0</v>
      </c>
      <c r="F41" s="24">
        <v>22446</v>
      </c>
      <c r="G41" s="24">
        <v>24212</v>
      </c>
      <c r="H41" s="31">
        <v>1</v>
      </c>
    </row>
    <row r="42" spans="1:8" x14ac:dyDescent="0.3">
      <c r="A42" s="16" t="s">
        <v>403</v>
      </c>
      <c r="B42" s="26">
        <v>3</v>
      </c>
      <c r="C42" s="27">
        <v>34590</v>
      </c>
      <c r="D42" s="27">
        <v>34590</v>
      </c>
      <c r="E42" s="27">
        <v>0</v>
      </c>
      <c r="F42" s="27">
        <v>11972</v>
      </c>
      <c r="G42" s="27">
        <v>22618</v>
      </c>
      <c r="H42" s="30">
        <v>1</v>
      </c>
    </row>
    <row r="43" spans="1:8" x14ac:dyDescent="0.3">
      <c r="A43" s="19" t="s">
        <v>404</v>
      </c>
      <c r="B43" s="23">
        <v>4</v>
      </c>
      <c r="C43" s="24">
        <v>39988</v>
      </c>
      <c r="D43" s="24">
        <v>30371</v>
      </c>
      <c r="E43" s="24">
        <v>9617</v>
      </c>
      <c r="F43" s="24">
        <v>16972</v>
      </c>
      <c r="G43" s="24">
        <v>23016</v>
      </c>
      <c r="H43" s="25">
        <v>0.75950285085525704</v>
      </c>
    </row>
    <row r="44" spans="1:8" x14ac:dyDescent="0.3">
      <c r="A44" s="16" t="s">
        <v>405</v>
      </c>
      <c r="B44" s="26">
        <v>6</v>
      </c>
      <c r="C44" s="27">
        <v>84225</v>
      </c>
      <c r="D44" s="27">
        <v>66993</v>
      </c>
      <c r="E44" s="27">
        <v>17232</v>
      </c>
      <c r="F44" s="27">
        <v>26910</v>
      </c>
      <c r="G44" s="27">
        <v>57315</v>
      </c>
      <c r="H44" s="28">
        <v>0.79540516473731104</v>
      </c>
    </row>
    <row r="45" spans="1:8" x14ac:dyDescent="0.3">
      <c r="A45" s="19" t="s">
        <v>406</v>
      </c>
      <c r="B45" s="23">
        <v>6</v>
      </c>
      <c r="C45" s="24">
        <v>59105</v>
      </c>
      <c r="D45" s="24">
        <v>46649</v>
      </c>
      <c r="E45" s="24">
        <v>12456</v>
      </c>
      <c r="F45" s="24">
        <v>25595</v>
      </c>
      <c r="G45" s="24">
        <v>33510</v>
      </c>
      <c r="H45" s="25">
        <v>0.78925640808730202</v>
      </c>
    </row>
    <row r="46" spans="1:8" x14ac:dyDescent="0.3">
      <c r="A46" s="16" t="s">
        <v>407</v>
      </c>
      <c r="B46" s="26">
        <v>7</v>
      </c>
      <c r="C46" s="27">
        <v>76678</v>
      </c>
      <c r="D46" s="27">
        <v>50446</v>
      </c>
      <c r="E46" s="29">
        <v>26232</v>
      </c>
      <c r="F46" s="27">
        <v>20322</v>
      </c>
      <c r="G46" s="27">
        <v>56356</v>
      </c>
      <c r="H46" s="28">
        <v>0.65789405044471705</v>
      </c>
    </row>
    <row r="47" spans="1:8" x14ac:dyDescent="0.3">
      <c r="A47" s="19" t="s">
        <v>408</v>
      </c>
      <c r="B47" s="23">
        <v>4</v>
      </c>
      <c r="C47" s="24">
        <v>73171</v>
      </c>
      <c r="D47" s="24">
        <v>55504</v>
      </c>
      <c r="E47" s="24">
        <v>17667</v>
      </c>
      <c r="F47" s="24">
        <v>18239</v>
      </c>
      <c r="G47" s="24">
        <v>54932</v>
      </c>
      <c r="H47" s="25">
        <v>0.75855188530975404</v>
      </c>
    </row>
    <row r="48" spans="1:8" x14ac:dyDescent="0.3">
      <c r="A48" s="16" t="s">
        <v>409</v>
      </c>
      <c r="B48" s="26">
        <v>7</v>
      </c>
      <c r="C48" s="27">
        <v>90667</v>
      </c>
      <c r="D48" s="27">
        <v>61847</v>
      </c>
      <c r="E48" s="29">
        <v>28820</v>
      </c>
      <c r="F48" s="27">
        <v>28461</v>
      </c>
      <c r="G48" s="27">
        <v>62206</v>
      </c>
      <c r="H48" s="28">
        <v>0.68213352156793505</v>
      </c>
    </row>
    <row r="49" spans="1:8" x14ac:dyDescent="0.3">
      <c r="A49" s="19" t="s">
        <v>410</v>
      </c>
      <c r="B49" s="23">
        <v>1</v>
      </c>
      <c r="C49" s="24">
        <v>13601</v>
      </c>
      <c r="D49" s="24">
        <v>13601</v>
      </c>
      <c r="E49" s="24">
        <v>0</v>
      </c>
      <c r="F49" s="24">
        <v>7031</v>
      </c>
      <c r="G49" s="24">
        <v>6570</v>
      </c>
      <c r="H49" s="31">
        <v>1</v>
      </c>
    </row>
    <row r="50" spans="1:8" x14ac:dyDescent="0.3">
      <c r="A50" s="16" t="s">
        <v>411</v>
      </c>
      <c r="B50" s="26">
        <v>1</v>
      </c>
      <c r="C50" s="27">
        <v>20516</v>
      </c>
      <c r="D50" s="27">
        <v>20516</v>
      </c>
      <c r="E50" s="27">
        <v>0</v>
      </c>
      <c r="F50" s="27">
        <v>7859</v>
      </c>
      <c r="G50" s="27">
        <v>12657</v>
      </c>
      <c r="H50" s="30">
        <v>1</v>
      </c>
    </row>
    <row r="51" spans="1:8" x14ac:dyDescent="0.3">
      <c r="A51" s="19" t="s">
        <v>412</v>
      </c>
      <c r="B51" s="23">
        <v>7</v>
      </c>
      <c r="C51" s="24">
        <v>60181</v>
      </c>
      <c r="D51" s="24">
        <v>60181</v>
      </c>
      <c r="E51" s="24">
        <v>0</v>
      </c>
      <c r="F51" s="24">
        <v>25510</v>
      </c>
      <c r="G51" s="24">
        <v>34671</v>
      </c>
      <c r="H51" s="31">
        <v>1</v>
      </c>
    </row>
    <row r="52" spans="1:8" x14ac:dyDescent="0.3">
      <c r="A52" s="16" t="s">
        <v>413</v>
      </c>
      <c r="B52" s="26">
        <v>5</v>
      </c>
      <c r="C52" s="27">
        <v>61065</v>
      </c>
      <c r="D52" s="27">
        <v>53434</v>
      </c>
      <c r="E52" s="27">
        <v>7631</v>
      </c>
      <c r="F52" s="27">
        <v>21486</v>
      </c>
      <c r="G52" s="27">
        <v>39579</v>
      </c>
      <c r="H52" s="30">
        <v>0.87503479898468906</v>
      </c>
    </row>
    <row r="53" spans="1:8" x14ac:dyDescent="0.3">
      <c r="A53" s="19" t="s">
        <v>414</v>
      </c>
      <c r="B53" s="23">
        <v>4</v>
      </c>
      <c r="C53" s="24">
        <v>60593</v>
      </c>
      <c r="D53" s="24">
        <v>60593</v>
      </c>
      <c r="E53" s="24">
        <v>0</v>
      </c>
      <c r="F53" s="24">
        <v>14919</v>
      </c>
      <c r="G53" s="24">
        <v>45674</v>
      </c>
      <c r="H53" s="31">
        <v>1</v>
      </c>
    </row>
    <row r="54" spans="1:8" x14ac:dyDescent="0.3">
      <c r="A54" s="16" t="s">
        <v>415</v>
      </c>
      <c r="B54" s="26">
        <v>4</v>
      </c>
      <c r="C54" s="27">
        <v>48349</v>
      </c>
      <c r="D54" s="27">
        <v>48349</v>
      </c>
      <c r="E54" s="27">
        <v>0</v>
      </c>
      <c r="F54" s="27">
        <v>16057</v>
      </c>
      <c r="G54" s="27">
        <v>32292</v>
      </c>
      <c r="H54" s="30">
        <v>1</v>
      </c>
    </row>
    <row r="55" spans="1:8" x14ac:dyDescent="0.3">
      <c r="A55" s="19" t="s">
        <v>416</v>
      </c>
      <c r="B55" s="23">
        <v>6</v>
      </c>
      <c r="C55" s="24">
        <v>56251</v>
      </c>
      <c r="D55" s="24">
        <v>56251</v>
      </c>
      <c r="E55" s="24">
        <v>0</v>
      </c>
      <c r="F55" s="24">
        <v>33702</v>
      </c>
      <c r="G55" s="24">
        <v>22549</v>
      </c>
      <c r="H55" s="31">
        <v>1</v>
      </c>
    </row>
    <row r="56" spans="1:8" x14ac:dyDescent="0.3">
      <c r="A56" s="16" t="s">
        <v>417</v>
      </c>
      <c r="B56" s="26">
        <v>2</v>
      </c>
      <c r="C56" s="27">
        <v>25774</v>
      </c>
      <c r="D56" s="27">
        <v>858</v>
      </c>
      <c r="E56" s="29">
        <v>24916</v>
      </c>
      <c r="F56" s="27">
        <v>3472</v>
      </c>
      <c r="G56" s="27">
        <v>22302</v>
      </c>
      <c r="H56" s="28">
        <v>3.3289361371925202E-2</v>
      </c>
    </row>
    <row r="57" spans="1:8" x14ac:dyDescent="0.3">
      <c r="A57" s="19" t="s">
        <v>418</v>
      </c>
      <c r="B57" s="23">
        <v>1</v>
      </c>
      <c r="C57" s="24">
        <v>12890</v>
      </c>
      <c r="D57" s="24">
        <v>2902</v>
      </c>
      <c r="E57" s="24">
        <v>9988</v>
      </c>
      <c r="F57" s="24">
        <v>1594</v>
      </c>
      <c r="G57" s="24">
        <v>11296</v>
      </c>
      <c r="H57" s="25">
        <v>0.225135764158262</v>
      </c>
    </row>
    <row r="58" spans="1:8" x14ac:dyDescent="0.3">
      <c r="A58" s="16" t="s">
        <v>419</v>
      </c>
      <c r="B58" s="26">
        <v>4</v>
      </c>
      <c r="C58" s="27">
        <v>52549</v>
      </c>
      <c r="D58" s="27">
        <v>29187</v>
      </c>
      <c r="E58" s="29">
        <v>23362</v>
      </c>
      <c r="F58" s="27">
        <v>24180</v>
      </c>
      <c r="G58" s="27">
        <v>28369</v>
      </c>
      <c r="H58" s="28">
        <v>0.555424460979276</v>
      </c>
    </row>
    <row r="59" spans="1:8" x14ac:dyDescent="0.3">
      <c r="A59" s="19" t="s">
        <v>420</v>
      </c>
      <c r="B59" s="23">
        <v>7</v>
      </c>
      <c r="C59" s="24">
        <v>89434</v>
      </c>
      <c r="D59" s="24">
        <v>84657</v>
      </c>
      <c r="E59" s="24">
        <v>4777</v>
      </c>
      <c r="F59" s="24">
        <v>31323</v>
      </c>
      <c r="G59" s="24">
        <v>58111</v>
      </c>
      <c r="H59" s="31">
        <v>0.94658630945725297</v>
      </c>
    </row>
    <row r="60" spans="1:8" x14ac:dyDescent="0.3">
      <c r="A60" s="16" t="s">
        <v>421</v>
      </c>
      <c r="B60" s="26">
        <v>3</v>
      </c>
      <c r="C60" s="27">
        <v>36416</v>
      </c>
      <c r="D60" s="27">
        <v>29052</v>
      </c>
      <c r="E60" s="27">
        <v>7364</v>
      </c>
      <c r="F60" s="27">
        <v>10935</v>
      </c>
      <c r="G60" s="27">
        <v>25481</v>
      </c>
      <c r="H60" s="28">
        <v>0.79778119507908596</v>
      </c>
    </row>
    <row r="61" spans="1:8" x14ac:dyDescent="0.3">
      <c r="A61" s="19" t="s">
        <v>422</v>
      </c>
      <c r="B61" s="23">
        <v>4</v>
      </c>
      <c r="C61" s="24">
        <v>52623</v>
      </c>
      <c r="D61" s="24">
        <v>34278</v>
      </c>
      <c r="E61" s="24">
        <v>18345</v>
      </c>
      <c r="F61" s="24">
        <v>19149</v>
      </c>
      <c r="G61" s="24">
        <v>33474</v>
      </c>
      <c r="H61" s="25">
        <v>0.65138817627273304</v>
      </c>
    </row>
    <row r="62" spans="1:8" x14ac:dyDescent="0.3">
      <c r="A62" s="16" t="s">
        <v>423</v>
      </c>
      <c r="B62" s="26">
        <v>9</v>
      </c>
      <c r="C62" s="27">
        <v>128913</v>
      </c>
      <c r="D62" s="27">
        <v>108113</v>
      </c>
      <c r="E62" s="29">
        <v>20800</v>
      </c>
      <c r="F62" s="27">
        <v>38318</v>
      </c>
      <c r="G62" s="27">
        <v>90595</v>
      </c>
      <c r="H62" s="30">
        <v>0.83865087306943398</v>
      </c>
    </row>
    <row r="63" spans="1:8" x14ac:dyDescent="0.3">
      <c r="A63" s="19" t="s">
        <v>424</v>
      </c>
      <c r="B63" s="23">
        <v>3</v>
      </c>
      <c r="C63" s="24">
        <v>30635</v>
      </c>
      <c r="D63" s="24">
        <v>20381</v>
      </c>
      <c r="E63" s="24">
        <v>10254</v>
      </c>
      <c r="F63" s="24">
        <v>12961</v>
      </c>
      <c r="G63" s="24">
        <v>17674</v>
      </c>
      <c r="H63" s="25">
        <v>0.66528480496164499</v>
      </c>
    </row>
    <row r="64" spans="1:8" x14ac:dyDescent="0.3">
      <c r="A64" s="16" t="s">
        <v>425</v>
      </c>
      <c r="B64" s="26">
        <v>2</v>
      </c>
      <c r="C64" s="27">
        <v>25457</v>
      </c>
      <c r="D64" s="27">
        <v>9019</v>
      </c>
      <c r="E64" s="27">
        <v>16438</v>
      </c>
      <c r="F64" s="27">
        <v>8449</v>
      </c>
      <c r="G64" s="27">
        <v>17008</v>
      </c>
      <c r="H64" s="28">
        <v>0.35428369407235699</v>
      </c>
    </row>
    <row r="65" spans="1:8" x14ac:dyDescent="0.3">
      <c r="A65" s="19" t="s">
        <v>426</v>
      </c>
      <c r="B65" s="23">
        <v>2</v>
      </c>
      <c r="C65" s="24">
        <v>30222</v>
      </c>
      <c r="D65" s="24">
        <v>30222</v>
      </c>
      <c r="E65" s="24">
        <v>0</v>
      </c>
      <c r="F65" s="24">
        <v>12426</v>
      </c>
      <c r="G65" s="24">
        <v>17796</v>
      </c>
      <c r="H65" s="31">
        <v>1</v>
      </c>
    </row>
    <row r="66" spans="1:8" x14ac:dyDescent="0.3">
      <c r="A66" s="16" t="s">
        <v>427</v>
      </c>
      <c r="B66" s="26">
        <v>4</v>
      </c>
      <c r="C66" s="27">
        <v>40489</v>
      </c>
      <c r="D66" s="27">
        <v>40489</v>
      </c>
      <c r="E66" s="27">
        <v>0</v>
      </c>
      <c r="F66" s="27">
        <v>17466</v>
      </c>
      <c r="G66" s="27">
        <v>23023</v>
      </c>
      <c r="H66" s="30">
        <v>1</v>
      </c>
    </row>
    <row r="67" spans="1:8" x14ac:dyDescent="0.3">
      <c r="A67" s="19" t="s">
        <v>428</v>
      </c>
      <c r="B67" s="23">
        <v>3</v>
      </c>
      <c r="C67" s="24">
        <v>45700</v>
      </c>
      <c r="D67" s="24">
        <v>19473</v>
      </c>
      <c r="E67" s="32">
        <v>26227</v>
      </c>
      <c r="F67" s="24">
        <v>11356</v>
      </c>
      <c r="G67" s="24">
        <v>34344</v>
      </c>
      <c r="H67" s="25">
        <v>0.42610503282275702</v>
      </c>
    </row>
    <row r="68" spans="1:8" x14ac:dyDescent="0.3">
      <c r="A68" s="16" t="s">
        <v>429</v>
      </c>
      <c r="B68" s="26">
        <v>4</v>
      </c>
      <c r="C68" s="27">
        <v>46476</v>
      </c>
      <c r="D68" s="27">
        <v>34232</v>
      </c>
      <c r="E68" s="27">
        <v>12244</v>
      </c>
      <c r="F68" s="27">
        <v>14007</v>
      </c>
      <c r="G68" s="27">
        <v>32469</v>
      </c>
      <c r="H68" s="28">
        <v>0.73655219898442204</v>
      </c>
    </row>
    <row r="69" spans="1:8" x14ac:dyDescent="0.3">
      <c r="A69" s="19" t="s">
        <v>430</v>
      </c>
      <c r="B69" s="23">
        <v>4</v>
      </c>
      <c r="C69" s="24">
        <v>65078</v>
      </c>
      <c r="D69" s="24">
        <v>43196</v>
      </c>
      <c r="E69" s="32">
        <v>21882</v>
      </c>
      <c r="F69" s="24">
        <v>19168</v>
      </c>
      <c r="G69" s="24">
        <v>45910</v>
      </c>
      <c r="H69" s="25">
        <v>0.66375733734902698</v>
      </c>
    </row>
    <row r="70" spans="1:8" x14ac:dyDescent="0.3">
      <c r="A70" s="16" t="s">
        <v>431</v>
      </c>
      <c r="B70" s="26">
        <v>3</v>
      </c>
      <c r="C70" s="27">
        <v>37605</v>
      </c>
      <c r="D70" s="27">
        <v>37605</v>
      </c>
      <c r="E70" s="27">
        <v>0</v>
      </c>
      <c r="F70" s="27">
        <v>7983</v>
      </c>
      <c r="G70" s="27">
        <v>29622</v>
      </c>
      <c r="H70" s="30">
        <v>1</v>
      </c>
    </row>
    <row r="71" spans="1:8" x14ac:dyDescent="0.3">
      <c r="A71" s="19" t="s">
        <v>432</v>
      </c>
      <c r="B71" s="23">
        <v>5</v>
      </c>
      <c r="C71" s="24">
        <v>47143</v>
      </c>
      <c r="D71" s="24">
        <v>47143</v>
      </c>
      <c r="E71" s="24">
        <v>0</v>
      </c>
      <c r="F71" s="24">
        <v>15809</v>
      </c>
      <c r="G71" s="24">
        <v>31334</v>
      </c>
      <c r="H71" s="31">
        <v>1</v>
      </c>
    </row>
    <row r="72" spans="1:8" x14ac:dyDescent="0.3">
      <c r="A72" s="16" t="s">
        <v>433</v>
      </c>
      <c r="B72" s="26">
        <v>3</v>
      </c>
      <c r="C72" s="27">
        <v>48447</v>
      </c>
      <c r="D72" s="27">
        <v>28469</v>
      </c>
      <c r="E72" s="27">
        <v>19978</v>
      </c>
      <c r="F72" s="27">
        <v>16482</v>
      </c>
      <c r="G72" s="27">
        <v>31965</v>
      </c>
      <c r="H72" s="28">
        <v>0.58763184510908795</v>
      </c>
    </row>
    <row r="73" spans="1:8" x14ac:dyDescent="0.3">
      <c r="A73" s="19" t="s">
        <v>434</v>
      </c>
      <c r="B73" s="23">
        <v>2</v>
      </c>
      <c r="C73" s="24">
        <v>26111</v>
      </c>
      <c r="D73" s="24">
        <v>5734</v>
      </c>
      <c r="E73" s="32">
        <v>20377</v>
      </c>
      <c r="F73" s="24">
        <v>14489</v>
      </c>
      <c r="G73" s="24">
        <v>11622</v>
      </c>
      <c r="H73" s="25">
        <v>0.219600934472062</v>
      </c>
    </row>
    <row r="74" spans="1:8" x14ac:dyDescent="0.3">
      <c r="A74" s="16" t="s">
        <v>435</v>
      </c>
      <c r="B74" s="26">
        <v>6</v>
      </c>
      <c r="C74" s="27">
        <v>76858</v>
      </c>
      <c r="D74" s="27">
        <v>67513</v>
      </c>
      <c r="E74" s="27">
        <v>9345</v>
      </c>
      <c r="F74" s="27">
        <v>30670</v>
      </c>
      <c r="G74" s="27">
        <v>46188</v>
      </c>
      <c r="H74" s="30">
        <v>0.87841213666762097</v>
      </c>
    </row>
    <row r="75" spans="1:8" x14ac:dyDescent="0.3">
      <c r="A75" s="19" t="s">
        <v>436</v>
      </c>
      <c r="B75" s="23">
        <v>0</v>
      </c>
      <c r="C75" s="24">
        <v>0</v>
      </c>
      <c r="D75" s="24">
        <v>0</v>
      </c>
      <c r="E75" s="24">
        <v>0</v>
      </c>
      <c r="F75" s="24">
        <v>0</v>
      </c>
      <c r="G75" s="24">
        <v>0</v>
      </c>
      <c r="H75" s="25">
        <v>0</v>
      </c>
    </row>
    <row r="76" spans="1:8" x14ac:dyDescent="0.3">
      <c r="A76" s="16" t="s">
        <v>437</v>
      </c>
      <c r="B76" s="26">
        <v>0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8">
        <v>0</v>
      </c>
    </row>
    <row r="77" spans="1:8" x14ac:dyDescent="0.3">
      <c r="A77" s="19" t="s">
        <v>438</v>
      </c>
      <c r="B77" s="23">
        <v>0</v>
      </c>
      <c r="C77" s="24">
        <v>0</v>
      </c>
      <c r="D77" s="24">
        <v>0</v>
      </c>
      <c r="E77" s="24">
        <v>0</v>
      </c>
      <c r="F77" s="24">
        <v>0</v>
      </c>
      <c r="G77" s="24">
        <v>0</v>
      </c>
      <c r="H77" s="25">
        <v>0</v>
      </c>
    </row>
    <row r="78" spans="1:8" x14ac:dyDescent="0.3">
      <c r="A78" s="16" t="s">
        <v>439</v>
      </c>
      <c r="B78" s="26">
        <v>0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8">
        <v>0</v>
      </c>
    </row>
    <row r="79" spans="1:8" x14ac:dyDescent="0.3">
      <c r="A79" s="19" t="s">
        <v>440</v>
      </c>
      <c r="B79" s="23">
        <v>0</v>
      </c>
      <c r="C79" s="24">
        <v>0</v>
      </c>
      <c r="D79" s="24">
        <v>0</v>
      </c>
      <c r="E79" s="24">
        <v>0</v>
      </c>
      <c r="F79" s="24">
        <v>0</v>
      </c>
      <c r="G79" s="24">
        <v>0</v>
      </c>
      <c r="H79" s="25">
        <v>0</v>
      </c>
    </row>
    <row r="80" spans="1:8" x14ac:dyDescent="0.3">
      <c r="A80" s="16" t="s">
        <v>441</v>
      </c>
      <c r="B80" s="26">
        <v>0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8">
        <v>0</v>
      </c>
    </row>
    <row r="81" spans="1:8" x14ac:dyDescent="0.3">
      <c r="A81" s="19" t="s">
        <v>442</v>
      </c>
      <c r="B81" s="23">
        <v>0</v>
      </c>
      <c r="C81" s="24">
        <v>0</v>
      </c>
      <c r="D81" s="24">
        <v>0</v>
      </c>
      <c r="E81" s="24">
        <v>0</v>
      </c>
      <c r="F81" s="24">
        <v>0</v>
      </c>
      <c r="G81" s="24">
        <v>0</v>
      </c>
      <c r="H81" s="25">
        <v>0</v>
      </c>
    </row>
    <row r="82" spans="1:8" x14ac:dyDescent="0.3">
      <c r="A82" s="16" t="s">
        <v>443</v>
      </c>
      <c r="B82" s="26">
        <v>0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8">
        <v>0</v>
      </c>
    </row>
    <row r="83" spans="1:8" x14ac:dyDescent="0.3">
      <c r="A83" s="19" t="s">
        <v>444</v>
      </c>
      <c r="B83" s="23">
        <v>0</v>
      </c>
      <c r="C83" s="24">
        <v>0</v>
      </c>
      <c r="D83" s="24">
        <v>0</v>
      </c>
      <c r="E83" s="24">
        <v>0</v>
      </c>
      <c r="F83" s="24">
        <v>0</v>
      </c>
      <c r="G83" s="24">
        <v>0</v>
      </c>
      <c r="H83" s="25">
        <v>0</v>
      </c>
    </row>
    <row r="84" spans="1:8" x14ac:dyDescent="0.3">
      <c r="A84" s="16" t="s">
        <v>445</v>
      </c>
      <c r="B84" s="26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8">
        <v>0</v>
      </c>
    </row>
    <row r="85" spans="1:8" x14ac:dyDescent="0.3">
      <c r="A85" s="19" t="s">
        <v>446</v>
      </c>
      <c r="B85" s="23">
        <v>0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5">
        <v>0</v>
      </c>
    </row>
    <row r="86" spans="1:8" x14ac:dyDescent="0.3">
      <c r="A86" s="16" t="s">
        <v>447</v>
      </c>
      <c r="B86" s="26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8">
        <v>0</v>
      </c>
    </row>
    <row r="87" spans="1:8" x14ac:dyDescent="0.3">
      <c r="A87" s="33" t="s">
        <v>448</v>
      </c>
      <c r="B87" s="34">
        <f t="shared" ref="B87:G87" si="0">SUM(B3:B86)</f>
        <v>300</v>
      </c>
      <c r="C87" s="35">
        <f t="shared" si="0"/>
        <v>3773794</v>
      </c>
      <c r="D87" s="35">
        <f t="shared" si="0"/>
        <v>2990449</v>
      </c>
      <c r="E87" s="35">
        <f t="shared" si="0"/>
        <v>783345</v>
      </c>
      <c r="F87" s="35">
        <f t="shared" si="0"/>
        <v>1346876</v>
      </c>
      <c r="G87" s="35">
        <f t="shared" si="0"/>
        <v>2426918</v>
      </c>
      <c r="H87" s="36">
        <f>D87/C87</f>
        <v>0.79242507672649853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K9"/>
  <sheetViews>
    <sheetView zoomScaleNormal="100" workbookViewId="0">
      <selection activeCell="H10" sqref="H10"/>
    </sheetView>
  </sheetViews>
  <sheetFormatPr defaultColWidth="8.6640625" defaultRowHeight="14.4" x14ac:dyDescent="0.3"/>
  <cols>
    <col min="1" max="5" width="20" customWidth="1"/>
    <col min="7" max="11" width="20" customWidth="1"/>
  </cols>
  <sheetData>
    <row r="1" spans="1:11" ht="34.5" customHeight="1" x14ac:dyDescent="0.3">
      <c r="A1" s="47" t="s">
        <v>449</v>
      </c>
      <c r="B1" s="47"/>
      <c r="C1" s="47"/>
      <c r="D1" s="47"/>
      <c r="E1" s="47"/>
      <c r="F1" s="47"/>
    </row>
    <row r="2" spans="1:11" x14ac:dyDescent="0.3">
      <c r="A2" s="22" t="s">
        <v>22</v>
      </c>
      <c r="B2" s="22" t="s">
        <v>450</v>
      </c>
      <c r="C2" s="22" t="s">
        <v>451</v>
      </c>
      <c r="D2" s="22" t="s">
        <v>452</v>
      </c>
      <c r="E2" s="22" t="s">
        <v>453</v>
      </c>
      <c r="G2" s="37" t="s">
        <v>23</v>
      </c>
      <c r="H2" s="37" t="s">
        <v>450</v>
      </c>
      <c r="I2" s="37" t="s">
        <v>451</v>
      </c>
      <c r="J2" s="37" t="s">
        <v>454</v>
      </c>
      <c r="K2" s="37" t="s">
        <v>453</v>
      </c>
    </row>
    <row r="3" spans="1:11" x14ac:dyDescent="0.3">
      <c r="A3" s="19" t="s">
        <v>58</v>
      </c>
      <c r="B3" s="23">
        <v>55</v>
      </c>
      <c r="C3" s="24">
        <v>667718</v>
      </c>
      <c r="D3" s="24">
        <v>12140.3272727273</v>
      </c>
      <c r="E3" s="25">
        <v>0.17693546600582899</v>
      </c>
      <c r="G3" s="19" t="s">
        <v>40</v>
      </c>
      <c r="H3" s="23">
        <v>55</v>
      </c>
      <c r="I3" s="24">
        <v>693395</v>
      </c>
      <c r="J3" s="24">
        <v>12607.1818181818</v>
      </c>
      <c r="K3" s="25">
        <v>0.18373949399463799</v>
      </c>
    </row>
    <row r="4" spans="1:11" x14ac:dyDescent="0.3">
      <c r="A4" s="16" t="s">
        <v>44</v>
      </c>
      <c r="B4" s="26">
        <v>63</v>
      </c>
      <c r="C4" s="27">
        <v>793808</v>
      </c>
      <c r="D4" s="27">
        <v>12600.126984127</v>
      </c>
      <c r="E4" s="28">
        <v>0.21034746464698401</v>
      </c>
      <c r="G4" s="16" t="s">
        <v>59</v>
      </c>
      <c r="H4" s="26">
        <v>41</v>
      </c>
      <c r="I4" s="27">
        <v>551372</v>
      </c>
      <c r="J4" s="27">
        <v>13448.097560975601</v>
      </c>
      <c r="K4" s="28">
        <v>0.146105484295115</v>
      </c>
    </row>
    <row r="5" spans="1:11" x14ac:dyDescent="0.3">
      <c r="A5" s="19" t="s">
        <v>33</v>
      </c>
      <c r="B5" s="23">
        <v>57</v>
      </c>
      <c r="C5" s="24">
        <v>721358</v>
      </c>
      <c r="D5" s="24">
        <v>12655.4035087719</v>
      </c>
      <c r="E5" s="25">
        <v>0.191149278418483</v>
      </c>
      <c r="G5" s="19" t="s">
        <v>56</v>
      </c>
      <c r="H5" s="23">
        <v>45</v>
      </c>
      <c r="I5" s="24">
        <v>548546</v>
      </c>
      <c r="J5" s="24">
        <v>12189.9111111111</v>
      </c>
      <c r="K5" s="25">
        <v>0.145356635788811</v>
      </c>
    </row>
    <row r="6" spans="1:11" x14ac:dyDescent="0.3">
      <c r="A6" s="16" t="s">
        <v>39</v>
      </c>
      <c r="B6" s="26">
        <v>62</v>
      </c>
      <c r="C6" s="27">
        <v>780076</v>
      </c>
      <c r="D6" s="27">
        <v>12581.870967741899</v>
      </c>
      <c r="E6" s="28">
        <v>0.206708686271694</v>
      </c>
      <c r="G6" s="16" t="s">
        <v>45</v>
      </c>
      <c r="H6" s="26">
        <v>37</v>
      </c>
      <c r="I6" s="27">
        <v>517457</v>
      </c>
      <c r="J6" s="27">
        <v>13985.3243243243</v>
      </c>
      <c r="K6" s="28">
        <v>0.13711850726351299</v>
      </c>
    </row>
    <row r="7" spans="1:11" x14ac:dyDescent="0.3">
      <c r="A7" s="19" t="s">
        <v>54</v>
      </c>
      <c r="B7" s="23">
        <v>63</v>
      </c>
      <c r="C7" s="24">
        <v>810834</v>
      </c>
      <c r="D7" s="24">
        <v>12870.380952381</v>
      </c>
      <c r="E7" s="25">
        <v>0.214859104657011</v>
      </c>
      <c r="G7" s="19" t="s">
        <v>68</v>
      </c>
      <c r="H7" s="23">
        <v>42</v>
      </c>
      <c r="I7" s="24">
        <v>508567</v>
      </c>
      <c r="J7" s="24">
        <v>12108.738095238101</v>
      </c>
      <c r="K7" s="25">
        <v>0.134762787793928</v>
      </c>
    </row>
    <row r="8" spans="1:11" x14ac:dyDescent="0.3">
      <c r="G8" s="16" t="s">
        <v>49</v>
      </c>
      <c r="H8" s="26">
        <v>42</v>
      </c>
      <c r="I8" s="27">
        <v>503627</v>
      </c>
      <c r="J8" s="27">
        <v>11991.1190476191</v>
      </c>
      <c r="K8" s="28">
        <v>0.13345376032713999</v>
      </c>
    </row>
    <row r="9" spans="1:11" x14ac:dyDescent="0.3">
      <c r="G9" s="19" t="s">
        <v>34</v>
      </c>
      <c r="H9" s="23">
        <v>38</v>
      </c>
      <c r="I9" s="24">
        <v>450830</v>
      </c>
      <c r="J9" s="24">
        <v>11863.947368421101</v>
      </c>
      <c r="K9" s="25">
        <v>0.119463330536855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L26"/>
  <sheetViews>
    <sheetView topLeftCell="A2" zoomScaleNormal="100" workbookViewId="0">
      <selection activeCell="K14" sqref="K14"/>
    </sheetView>
  </sheetViews>
  <sheetFormatPr defaultColWidth="8.6640625" defaultRowHeight="14.4" x14ac:dyDescent="0.3"/>
  <cols>
    <col min="1" max="5" width="18" customWidth="1"/>
    <col min="6" max="12" width="16" customWidth="1"/>
  </cols>
  <sheetData>
    <row r="1" spans="1:12" ht="34.5" customHeight="1" x14ac:dyDescent="0.3">
      <c r="A1" s="47" t="s">
        <v>455</v>
      </c>
      <c r="B1" s="47"/>
      <c r="C1" s="47"/>
      <c r="D1" s="47"/>
      <c r="E1" s="47"/>
      <c r="F1" s="47"/>
      <c r="G1" s="47"/>
    </row>
    <row r="3" spans="1:12" x14ac:dyDescent="0.3">
      <c r="A3" s="11" t="s">
        <v>3</v>
      </c>
      <c r="B3" s="11"/>
      <c r="C3" s="10" t="s">
        <v>456</v>
      </c>
      <c r="D3" s="10"/>
      <c r="E3" s="10" t="s">
        <v>457</v>
      </c>
      <c r="F3" s="10"/>
      <c r="G3" s="8" t="s">
        <v>458</v>
      </c>
      <c r="H3" s="8"/>
      <c r="I3" s="11" t="s">
        <v>459</v>
      </c>
      <c r="J3" s="11"/>
    </row>
    <row r="4" spans="1:12" ht="30" customHeight="1" x14ac:dyDescent="0.3">
      <c r="A4" s="48">
        <v>300</v>
      </c>
      <c r="B4" s="48"/>
      <c r="C4" s="49">
        <v>3773794</v>
      </c>
      <c r="D4" s="49"/>
      <c r="E4" s="49">
        <v>2990449</v>
      </c>
      <c r="F4" s="49"/>
      <c r="G4" s="50">
        <v>783345</v>
      </c>
      <c r="H4" s="50"/>
      <c r="I4" s="51">
        <v>0.79242507672649898</v>
      </c>
      <c r="J4" s="51"/>
    </row>
    <row r="6" spans="1:12" x14ac:dyDescent="0.3">
      <c r="A6" s="22" t="s">
        <v>29</v>
      </c>
      <c r="B6" s="22" t="s">
        <v>460</v>
      </c>
      <c r="C6" s="22" t="s">
        <v>461</v>
      </c>
      <c r="D6" s="22" t="s">
        <v>462</v>
      </c>
      <c r="F6" s="38" t="s">
        <v>20</v>
      </c>
      <c r="G6" s="38" t="s">
        <v>21</v>
      </c>
      <c r="H6" s="38" t="s">
        <v>463</v>
      </c>
      <c r="I6" s="38" t="s">
        <v>464</v>
      </c>
      <c r="J6" s="38" t="s">
        <v>465</v>
      </c>
      <c r="K6" s="38" t="s">
        <v>466</v>
      </c>
      <c r="L6" s="38" t="s">
        <v>467</v>
      </c>
    </row>
    <row r="7" spans="1:12" x14ac:dyDescent="0.3">
      <c r="A7" s="19" t="s">
        <v>64</v>
      </c>
      <c r="B7" s="23">
        <v>74</v>
      </c>
      <c r="C7" s="24">
        <v>779781</v>
      </c>
      <c r="D7" s="25">
        <v>0.24666666666666701</v>
      </c>
      <c r="F7" s="19" t="s">
        <v>32</v>
      </c>
      <c r="G7" s="39">
        <v>41664</v>
      </c>
      <c r="H7" s="40" t="s">
        <v>33</v>
      </c>
      <c r="I7" s="40" t="s">
        <v>469</v>
      </c>
      <c r="J7" s="24">
        <v>13861</v>
      </c>
      <c r="K7" s="24">
        <v>4409</v>
      </c>
      <c r="L7" s="24">
        <v>9452</v>
      </c>
    </row>
    <row r="8" spans="1:12" x14ac:dyDescent="0.3">
      <c r="A8" s="16" t="s">
        <v>61</v>
      </c>
      <c r="B8" s="26">
        <v>72</v>
      </c>
      <c r="C8" s="27">
        <v>748645</v>
      </c>
      <c r="D8" s="28">
        <v>0.24</v>
      </c>
      <c r="F8" s="16" t="s">
        <v>51</v>
      </c>
      <c r="G8" s="41">
        <v>41690</v>
      </c>
      <c r="H8" s="42" t="s">
        <v>468</v>
      </c>
      <c r="I8" s="42" t="s">
        <v>469</v>
      </c>
      <c r="J8" s="27">
        <v>12988</v>
      </c>
      <c r="K8" s="27">
        <v>2791</v>
      </c>
      <c r="L8" s="27">
        <v>10197</v>
      </c>
    </row>
    <row r="9" spans="1:12" x14ac:dyDescent="0.3">
      <c r="A9" s="19" t="s">
        <v>47</v>
      </c>
      <c r="B9" s="23">
        <v>83</v>
      </c>
      <c r="C9" s="24">
        <v>887632</v>
      </c>
      <c r="D9" s="25">
        <v>0.276666666666667</v>
      </c>
      <c r="F9" s="19" t="s">
        <v>55</v>
      </c>
      <c r="G9" s="39">
        <v>41723</v>
      </c>
      <c r="H9" s="40" t="s">
        <v>468</v>
      </c>
      <c r="I9" s="40" t="s">
        <v>56</v>
      </c>
      <c r="J9" s="24">
        <v>5322</v>
      </c>
      <c r="K9" s="24">
        <v>468</v>
      </c>
      <c r="L9" s="24">
        <v>4854</v>
      </c>
    </row>
    <row r="10" spans="1:12" x14ac:dyDescent="0.3">
      <c r="A10" s="16" t="s">
        <v>36</v>
      </c>
      <c r="B10" s="26">
        <v>71</v>
      </c>
      <c r="C10" s="27">
        <v>574391</v>
      </c>
      <c r="D10" s="28">
        <v>0.236666666666667</v>
      </c>
      <c r="F10" s="16" t="s">
        <v>62</v>
      </c>
      <c r="G10" s="41">
        <v>41748</v>
      </c>
      <c r="H10" s="42" t="s">
        <v>468</v>
      </c>
      <c r="I10" s="42" t="s">
        <v>56</v>
      </c>
      <c r="J10" s="27">
        <v>17812</v>
      </c>
      <c r="K10" s="27">
        <v>3611</v>
      </c>
      <c r="L10" s="27">
        <v>14201</v>
      </c>
    </row>
    <row r="11" spans="1:12" x14ac:dyDescent="0.3">
      <c r="F11" s="19" t="s">
        <v>63</v>
      </c>
      <c r="G11" s="39">
        <v>41751</v>
      </c>
      <c r="H11" s="40" t="s">
        <v>54</v>
      </c>
      <c r="I11" s="40" t="s">
        <v>40</v>
      </c>
      <c r="J11" s="24">
        <v>7034</v>
      </c>
      <c r="K11" s="24">
        <v>744</v>
      </c>
      <c r="L11" s="24">
        <v>6290</v>
      </c>
    </row>
    <row r="12" spans="1:12" x14ac:dyDescent="0.3">
      <c r="F12" s="16" t="s">
        <v>65</v>
      </c>
      <c r="G12" s="41">
        <v>41767</v>
      </c>
      <c r="H12" s="42" t="s">
        <v>54</v>
      </c>
      <c r="I12" s="42" t="s">
        <v>59</v>
      </c>
      <c r="J12" s="27">
        <v>14821</v>
      </c>
      <c r="K12" s="27">
        <v>5620</v>
      </c>
      <c r="L12" s="27">
        <v>9201</v>
      </c>
    </row>
    <row r="13" spans="1:12" x14ac:dyDescent="0.3">
      <c r="F13" s="19" t="s">
        <v>70</v>
      </c>
      <c r="G13" s="39">
        <v>41804</v>
      </c>
      <c r="H13" s="40" t="s">
        <v>58</v>
      </c>
      <c r="I13" s="40" t="s">
        <v>59</v>
      </c>
      <c r="J13" s="24">
        <v>16225</v>
      </c>
      <c r="K13" s="24">
        <v>7504</v>
      </c>
      <c r="L13" s="24">
        <v>8721</v>
      </c>
    </row>
    <row r="14" spans="1:12" x14ac:dyDescent="0.3">
      <c r="F14" s="16" t="s">
        <v>77</v>
      </c>
      <c r="G14" s="41">
        <v>41843</v>
      </c>
      <c r="H14" s="42" t="s">
        <v>54</v>
      </c>
      <c r="I14" s="42" t="s">
        <v>469</v>
      </c>
      <c r="J14" s="27">
        <v>15774</v>
      </c>
      <c r="K14" s="27">
        <v>3978</v>
      </c>
      <c r="L14" s="27">
        <v>11796</v>
      </c>
    </row>
    <row r="15" spans="1:12" x14ac:dyDescent="0.3">
      <c r="F15" s="19" t="s">
        <v>82</v>
      </c>
      <c r="G15" s="39">
        <v>41870</v>
      </c>
      <c r="H15" s="40" t="s">
        <v>33</v>
      </c>
      <c r="I15" s="40" t="s">
        <v>49</v>
      </c>
      <c r="J15" s="24">
        <v>6992</v>
      </c>
      <c r="K15" s="24">
        <v>1851</v>
      </c>
      <c r="L15" s="24">
        <v>5141</v>
      </c>
    </row>
    <row r="16" spans="1:12" x14ac:dyDescent="0.3">
      <c r="F16" s="16" t="s">
        <v>90</v>
      </c>
      <c r="G16" s="41">
        <v>41942</v>
      </c>
      <c r="H16" s="42" t="s">
        <v>58</v>
      </c>
      <c r="I16" s="42" t="s">
        <v>469</v>
      </c>
      <c r="J16" s="27">
        <v>7777</v>
      </c>
      <c r="K16" s="27">
        <v>1908</v>
      </c>
      <c r="L16" s="27">
        <v>5869</v>
      </c>
    </row>
    <row r="17" spans="6:12" x14ac:dyDescent="0.3">
      <c r="F17" s="19" t="s">
        <v>91</v>
      </c>
      <c r="G17" s="39">
        <v>41947</v>
      </c>
      <c r="H17" s="40" t="s">
        <v>58</v>
      </c>
      <c r="I17" s="40" t="s">
        <v>68</v>
      </c>
      <c r="J17" s="24">
        <v>12027</v>
      </c>
      <c r="K17" s="24">
        <v>2385</v>
      </c>
      <c r="L17" s="24">
        <v>9642</v>
      </c>
    </row>
    <row r="18" spans="6:12" x14ac:dyDescent="0.3">
      <c r="F18" s="16" t="s">
        <v>93</v>
      </c>
      <c r="G18" s="41">
        <v>41958</v>
      </c>
      <c r="H18" s="42" t="s">
        <v>33</v>
      </c>
      <c r="I18" s="42" t="s">
        <v>49</v>
      </c>
      <c r="J18" s="27">
        <v>14210</v>
      </c>
      <c r="K18" s="27">
        <v>5812</v>
      </c>
      <c r="L18" s="27">
        <v>8398</v>
      </c>
    </row>
    <row r="19" spans="6:12" x14ac:dyDescent="0.3">
      <c r="F19" s="19" t="s">
        <v>96</v>
      </c>
      <c r="G19" s="39">
        <v>41963</v>
      </c>
      <c r="H19" s="40" t="s">
        <v>33</v>
      </c>
      <c r="I19" s="40" t="s">
        <v>59</v>
      </c>
      <c r="J19" s="24">
        <v>10874</v>
      </c>
      <c r="K19" s="24">
        <v>1752</v>
      </c>
      <c r="L19" s="24">
        <v>9122</v>
      </c>
    </row>
    <row r="20" spans="6:12" x14ac:dyDescent="0.3">
      <c r="F20" s="16" t="s">
        <v>107</v>
      </c>
      <c r="G20" s="41">
        <v>42068</v>
      </c>
      <c r="H20" s="42" t="s">
        <v>58</v>
      </c>
      <c r="I20" s="42" t="s">
        <v>469</v>
      </c>
      <c r="J20" s="27">
        <v>16037</v>
      </c>
      <c r="K20" s="27">
        <v>2361</v>
      </c>
      <c r="L20" s="27">
        <v>13676</v>
      </c>
    </row>
    <row r="21" spans="6:12" x14ac:dyDescent="0.3">
      <c r="F21" s="19" t="s">
        <v>109</v>
      </c>
      <c r="G21" s="39">
        <v>42082</v>
      </c>
      <c r="H21" s="40" t="s">
        <v>468</v>
      </c>
      <c r="I21" s="40" t="s">
        <v>68</v>
      </c>
      <c r="J21" s="24">
        <v>13288</v>
      </c>
      <c r="K21" s="24">
        <v>3249</v>
      </c>
      <c r="L21" s="24">
        <v>10039</v>
      </c>
    </row>
    <row r="22" spans="6:12" x14ac:dyDescent="0.3">
      <c r="F22" s="16" t="s">
        <v>112</v>
      </c>
      <c r="G22" s="41">
        <v>42089</v>
      </c>
      <c r="H22" s="42" t="s">
        <v>58</v>
      </c>
      <c r="I22" s="42" t="s">
        <v>40</v>
      </c>
      <c r="J22" s="27">
        <v>15587</v>
      </c>
      <c r="K22" s="27">
        <v>4885</v>
      </c>
      <c r="L22" s="27">
        <v>10702</v>
      </c>
    </row>
    <row r="23" spans="6:12" x14ac:dyDescent="0.3">
      <c r="F23" s="19" t="s">
        <v>113</v>
      </c>
      <c r="G23" s="39">
        <v>42090</v>
      </c>
      <c r="H23" s="40" t="s">
        <v>58</v>
      </c>
      <c r="I23" s="40" t="s">
        <v>68</v>
      </c>
      <c r="J23" s="24">
        <v>10051</v>
      </c>
      <c r="K23" s="24">
        <v>1240</v>
      </c>
      <c r="L23" s="24">
        <v>8811</v>
      </c>
    </row>
    <row r="24" spans="6:12" x14ac:dyDescent="0.3">
      <c r="F24" s="16" t="s">
        <v>117</v>
      </c>
      <c r="G24" s="41">
        <v>42108</v>
      </c>
      <c r="H24" s="42" t="s">
        <v>468</v>
      </c>
      <c r="I24" s="42" t="s">
        <v>40</v>
      </c>
      <c r="J24" s="27">
        <v>11912</v>
      </c>
      <c r="K24" s="27">
        <v>3699</v>
      </c>
      <c r="L24" s="27">
        <v>8213</v>
      </c>
    </row>
    <row r="25" spans="6:12" x14ac:dyDescent="0.3">
      <c r="F25" s="19" t="s">
        <v>118</v>
      </c>
      <c r="G25" s="39">
        <v>42111</v>
      </c>
      <c r="H25" s="40" t="s">
        <v>39</v>
      </c>
      <c r="I25" s="40" t="s">
        <v>68</v>
      </c>
      <c r="J25" s="24">
        <v>6775</v>
      </c>
      <c r="K25" s="24">
        <v>2824</v>
      </c>
      <c r="L25" s="24">
        <v>3951</v>
      </c>
    </row>
    <row r="26" spans="6:12" x14ac:dyDescent="0.3">
      <c r="F26" s="16" t="s">
        <v>119</v>
      </c>
      <c r="G26" s="41">
        <v>42122</v>
      </c>
      <c r="H26" s="42" t="s">
        <v>33</v>
      </c>
      <c r="I26" s="42" t="s">
        <v>45</v>
      </c>
      <c r="J26" s="27">
        <v>14966</v>
      </c>
      <c r="K26" s="27">
        <v>1757</v>
      </c>
      <c r="L26" s="27">
        <v>13209</v>
      </c>
    </row>
  </sheetData>
  <mergeCells count="11">
    <mergeCell ref="I3:J3"/>
    <mergeCell ref="A4:B4"/>
    <mergeCell ref="C4:D4"/>
    <mergeCell ref="E4:F4"/>
    <mergeCell ref="G4:H4"/>
    <mergeCell ref="I4:J4"/>
    <mergeCell ref="A1:G1"/>
    <mergeCell ref="A3:B3"/>
    <mergeCell ref="C3:D3"/>
    <mergeCell ref="E3:F3"/>
    <mergeCell ref="G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Raw Data</vt:lpstr>
      <vt:lpstr>Monthly Summary</vt:lpstr>
      <vt:lpstr>Vehicle &amp; Repair Analysis</vt:lpstr>
      <vt:lpstr>Payment &amp;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hussainikram995@gmail.com</cp:lastModifiedBy>
  <cp:revision>1</cp:revision>
  <dcterms:created xsi:type="dcterms:W3CDTF">2026-05-05T05:50:54Z</dcterms:created>
  <dcterms:modified xsi:type="dcterms:W3CDTF">2026-05-05T06:09:42Z</dcterms:modified>
  <dc:language>en-US</dc:language>
</cp:coreProperties>
</file>